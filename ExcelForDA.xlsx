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Data-Analyst-Journey\"/>
    </mc:Choice>
  </mc:AlternateContent>
  <xr:revisionPtr revIDLastSave="0" documentId="13_ncr:1_{4832B64E-912B-4C42-BCF9-838DF9FE8588}" xr6:coauthVersionLast="47" xr6:coauthVersionMax="47" xr10:uidLastSave="{00000000-0000-0000-0000-000000000000}"/>
  <bookViews>
    <workbookView xWindow="-108" yWindow="-108" windowWidth="23256" windowHeight="12456" firstSheet="6" activeTab="9" xr2:uid="{9812301C-C18C-46F2-AD5A-E6FD016C11F9}"/>
  </bookViews>
  <sheets>
    <sheet name="Data Entry And Basic Formatting" sheetId="1" r:id="rId1"/>
    <sheet name="Basic Formula" sheetId="3" r:id="rId2"/>
    <sheet name="Conditional Formatting" sheetId="2" r:id="rId3"/>
    <sheet name="Sorting " sheetId="4" r:id="rId4"/>
    <sheet name="Filter" sheetId="5" r:id="rId5"/>
    <sheet name="Table Creation" sheetId="6" r:id="rId6"/>
    <sheet name="Logical formula" sheetId="7" r:id="rId7"/>
    <sheet name="Lookup , VLookup , Index" sheetId="8" r:id="rId8"/>
    <sheet name="XLOOKUP" sheetId="10" r:id="rId9"/>
    <sheet name="Advanced Filter" sheetId="12" r:id="rId10"/>
    <sheet name="Pw" sheetId="15" r:id="rId11"/>
    <sheet name="Sheet2" sheetId="16" r:id="rId12"/>
    <sheet name="Sheet1" sheetId="14" r:id="rId13"/>
    <sheet name="Financial Formula" sheetId="13" r:id="rId14"/>
  </sheets>
  <definedNames>
    <definedName name="_xlnm._FilterDatabase" localSheetId="9" hidden="1">'Advanced Filter'!$A$1:$J$51</definedName>
    <definedName name="_xlnm._FilterDatabase" localSheetId="4" hidden="1">Filter!$A$2:$J$52</definedName>
    <definedName name="_xlnm._FilterDatabase" localSheetId="6" hidden="1">'Logical formula'!$K$3:$K$53</definedName>
    <definedName name="_xlnm.Criteria" localSheetId="9">'Advanced Filter'!$L$1:$L$2</definedName>
    <definedName name="ExternalData_1" localSheetId="10" hidden="1">Pw!$A$1:$J$20</definedName>
    <definedName name="_xlnm.Extract" localSheetId="9">'Advanced Filter'!$N$1:$W$1</definedName>
    <definedName name="Slicer_Category">#N/A</definedName>
    <definedName name="Slicer_PaymentMod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4" i="10" l="1"/>
  <c r="O5" i="10"/>
  <c r="O6" i="10"/>
  <c r="O7" i="10"/>
  <c r="O8" i="10"/>
  <c r="O9" i="10"/>
  <c r="O10" i="10"/>
  <c r="O11" i="10"/>
  <c r="O12" i="10"/>
  <c r="O13" i="10"/>
  <c r="O14" i="10"/>
  <c r="O15" i="10"/>
  <c r="O16" i="10"/>
  <c r="O17" i="10"/>
  <c r="O3" i="10"/>
  <c r="I8" i="8"/>
  <c r="I9" i="8"/>
  <c r="I10" i="8"/>
  <c r="I11" i="8"/>
  <c r="I7" i="8"/>
  <c r="E4" i="8"/>
  <c r="E5" i="8"/>
  <c r="E6" i="8"/>
  <c r="E7" i="8"/>
  <c r="E8" i="8"/>
  <c r="E9" i="8"/>
  <c r="E10" i="8"/>
  <c r="E11" i="8"/>
  <c r="E12" i="8"/>
  <c r="E13" i="8"/>
  <c r="E14" i="8"/>
  <c r="E3" i="8"/>
  <c r="D4" i="8"/>
  <c r="D5" i="8"/>
  <c r="D6" i="8"/>
  <c r="D7" i="8"/>
  <c r="D8" i="8"/>
  <c r="D9" i="8"/>
  <c r="D10" i="8"/>
  <c r="D11" i="8"/>
  <c r="D12" i="8"/>
  <c r="D13" i="8"/>
  <c r="D14" i="8"/>
  <c r="D3" i="8"/>
  <c r="K4" i="7"/>
  <c r="P6" i="7" s="1"/>
  <c r="K5" i="7"/>
  <c r="K6" i="7"/>
  <c r="L6" i="7" s="1" a="1"/>
  <c r="L6" i="7" s="1"/>
  <c r="K7" i="7"/>
  <c r="L7" i="7" s="1" a="1"/>
  <c r="L7" i="7" s="1"/>
  <c r="K8" i="7"/>
  <c r="L8" i="7" s="1" a="1"/>
  <c r="L8" i="7" s="1"/>
  <c r="K9" i="7"/>
  <c r="K10" i="7"/>
  <c r="L10" i="7" s="1" a="1"/>
  <c r="L10" i="7" s="1"/>
  <c r="K11" i="7"/>
  <c r="L11" i="7" s="1" a="1"/>
  <c r="L11" i="7" s="1"/>
  <c r="K12" i="7"/>
  <c r="K13" i="7"/>
  <c r="L13" i="7" s="1" a="1"/>
  <c r="L13" i="7" s="1"/>
  <c r="K14" i="7"/>
  <c r="O14" i="7" s="1"/>
  <c r="K15" i="7"/>
  <c r="O15" i="7" s="1"/>
  <c r="K16" i="7"/>
  <c r="O16" i="7" s="1"/>
  <c r="K17" i="7"/>
  <c r="P17" i="7" s="1"/>
  <c r="K18" i="7"/>
  <c r="L18" i="7" s="1" a="1"/>
  <c r="L18" i="7" s="1"/>
  <c r="K19" i="7"/>
  <c r="L19" i="7" s="1" a="1"/>
  <c r="L19" i="7" s="1"/>
  <c r="K20" i="7"/>
  <c r="P19" i="7" s="1"/>
  <c r="K21" i="7"/>
  <c r="L21" i="7" s="1" a="1"/>
  <c r="L21" i="7" s="1"/>
  <c r="K22" i="7"/>
  <c r="L22" i="7" s="1" a="1"/>
  <c r="L22" i="7" s="1"/>
  <c r="K23" i="7"/>
  <c r="L23" i="7" s="1" a="1"/>
  <c r="L23" i="7" s="1"/>
  <c r="K24" i="7"/>
  <c r="L24" i="7" s="1" a="1"/>
  <c r="L24" i="7" s="1"/>
  <c r="K25" i="7"/>
  <c r="L25" i="7" s="1" a="1"/>
  <c r="L25" i="7" s="1"/>
  <c r="K26" i="7"/>
  <c r="L26" i="7" s="1" a="1"/>
  <c r="L26" i="7" s="1"/>
  <c r="K27" i="7"/>
  <c r="L27" i="7" s="1" a="1"/>
  <c r="L27" i="7" s="1"/>
  <c r="K28" i="7"/>
  <c r="P24" i="7" s="1"/>
  <c r="K29" i="7"/>
  <c r="O25" i="7" s="1"/>
  <c r="K30" i="7"/>
  <c r="O26" i="7" s="1"/>
  <c r="K31" i="7"/>
  <c r="O27" i="7" s="1"/>
  <c r="K32" i="7"/>
  <c r="L32" i="7" s="1" a="1"/>
  <c r="L32" i="7" s="1"/>
  <c r="K33" i="7"/>
  <c r="P29" i="7" s="1"/>
  <c r="K34" i="7"/>
  <c r="P30" i="7" s="1"/>
  <c r="K35" i="7"/>
  <c r="L35" i="7" s="1" a="1"/>
  <c r="L35" i="7" s="1"/>
  <c r="K36" i="7"/>
  <c r="L36" i="7" s="1" a="1"/>
  <c r="L36" i="7" s="1"/>
  <c r="K37" i="7"/>
  <c r="P32" i="7" s="1"/>
  <c r="K38" i="7"/>
  <c r="L38" i="7" s="1" a="1"/>
  <c r="L38" i="7" s="1"/>
  <c r="K39" i="7"/>
  <c r="L39" i="7" s="1" a="1"/>
  <c r="L39" i="7" s="1"/>
  <c r="K40" i="7"/>
  <c r="L40" i="7" s="1" a="1"/>
  <c r="L40" i="7" s="1"/>
  <c r="K41" i="7"/>
  <c r="L41" i="7" s="1" a="1"/>
  <c r="L41" i="7" s="1"/>
  <c r="K42" i="7"/>
  <c r="L42" i="7" s="1" a="1"/>
  <c r="L42" i="7" s="1"/>
  <c r="K43" i="7"/>
  <c r="L43" i="7" s="1" a="1"/>
  <c r="L43" i="7" s="1"/>
  <c r="K44" i="7"/>
  <c r="P36" i="7" s="1"/>
  <c r="K45" i="7"/>
  <c r="L45" i="7" s="1" a="1"/>
  <c r="L45" i="7" s="1"/>
  <c r="K46" i="7"/>
  <c r="O38" i="7" s="1"/>
  <c r="K47" i="7"/>
  <c r="P39" i="7" s="1"/>
  <c r="K48" i="7"/>
  <c r="L48" i="7" s="1" a="1"/>
  <c r="L48" i="7" s="1"/>
  <c r="K49" i="7"/>
  <c r="P40" i="7" s="1"/>
  <c r="K50" i="7"/>
  <c r="P41" i="7" s="1"/>
  <c r="K51" i="7"/>
  <c r="P42" i="7" s="1"/>
  <c r="K52" i="7"/>
  <c r="L52" i="7" s="1" a="1"/>
  <c r="L52" i="7" s="1"/>
  <c r="K3" i="7"/>
  <c r="L3" i="7" s="1" a="1"/>
  <c r="L3" i="7" s="1"/>
  <c r="K51" i="6"/>
  <c r="K50" i="6"/>
  <c r="K49" i="6"/>
  <c r="K45" i="6"/>
  <c r="K43" i="6"/>
  <c r="K42" i="6"/>
  <c r="K41" i="6"/>
  <c r="K38" i="6"/>
  <c r="K37" i="6"/>
  <c r="K35" i="6"/>
  <c r="K30" i="6"/>
  <c r="K29" i="6"/>
  <c r="K28" i="6"/>
  <c r="K25" i="6"/>
  <c r="K23" i="6"/>
  <c r="K22" i="6"/>
  <c r="K21" i="6"/>
  <c r="K18" i="6"/>
  <c r="K17" i="6"/>
  <c r="K15" i="6"/>
  <c r="K14" i="6"/>
  <c r="K11" i="6"/>
  <c r="K9" i="6"/>
  <c r="K8" i="6"/>
  <c r="K4" i="6"/>
  <c r="K3" i="6"/>
  <c r="N7"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2" i="3"/>
  <c r="O22" i="7" l="1"/>
  <c r="P34" i="7"/>
  <c r="O40" i="7"/>
  <c r="O37" i="7"/>
  <c r="O10" i="7"/>
  <c r="P7" i="7"/>
  <c r="O36" i="7"/>
  <c r="O24" i="7"/>
  <c r="L28" i="7" a="1"/>
  <c r="L28" i="7" s="1"/>
  <c r="O13" i="7"/>
  <c r="O23" i="7"/>
  <c r="P28" i="7"/>
  <c r="K53" i="7"/>
  <c r="L53" i="7" s="1" a="1"/>
  <c r="L53" i="7" s="1"/>
  <c r="L4" i="7" a="1"/>
  <c r="L4" i="7" s="1"/>
  <c r="P27" i="7"/>
  <c r="O43" i="7"/>
  <c r="L37" i="7" a="1"/>
  <c r="L37" i="7" s="1"/>
  <c r="O9" i="7"/>
  <c r="L31" i="7" a="1"/>
  <c r="L31" i="7" s="1"/>
  <c r="O35" i="7"/>
  <c r="O8" i="7"/>
  <c r="P22" i="7"/>
  <c r="L49" i="7" a="1"/>
  <c r="L49" i="7" s="1"/>
  <c r="L15" i="7" a="1"/>
  <c r="L15" i="7" s="1"/>
  <c r="O34" i="7"/>
  <c r="O6" i="7"/>
  <c r="P16" i="7"/>
  <c r="O42" i="7"/>
  <c r="P25" i="7"/>
  <c r="L17" i="7" a="1"/>
  <c r="L17" i="7" s="1"/>
  <c r="L16" i="7" a="1"/>
  <c r="L16" i="7" s="1"/>
  <c r="P15" i="7"/>
  <c r="L51" i="7" a="1"/>
  <c r="L51" i="7" s="1"/>
  <c r="O7" i="7"/>
  <c r="L50" i="7" a="1"/>
  <c r="L50" i="7" s="1"/>
  <c r="P23" i="7"/>
  <c r="P11" i="7"/>
  <c r="L30" i="7" a="1"/>
  <c r="L30" i="7" s="1"/>
  <c r="O33" i="7"/>
  <c r="P43" i="7"/>
  <c r="L44" i="7" a="1"/>
  <c r="L44" i="7" s="1"/>
  <c r="L5" i="7" a="1"/>
  <c r="L5" i="7" s="1"/>
  <c r="O32" i="7"/>
  <c r="P14" i="7"/>
  <c r="P26" i="7"/>
  <c r="L29" i="7" a="1"/>
  <c r="L29" i="7" s="1"/>
  <c r="P35" i="7"/>
  <c r="P13" i="7"/>
  <c r="O11" i="7"/>
  <c r="P37" i="7"/>
  <c r="O5" i="7"/>
  <c r="O20" i="7"/>
  <c r="O31" i="7"/>
  <c r="O18" i="7"/>
  <c r="P33" i="7"/>
  <c r="P21" i="7"/>
  <c r="P9" i="7"/>
  <c r="L47" i="7" a="1"/>
  <c r="L47" i="7" s="1"/>
  <c r="L14" i="7" a="1"/>
  <c r="L14" i="7" s="1"/>
  <c r="O41" i="7"/>
  <c r="O29" i="7"/>
  <c r="O17" i="7"/>
  <c r="P5" i="7"/>
  <c r="P20" i="7"/>
  <c r="P8" i="7"/>
  <c r="L12" i="7" a="1"/>
  <c r="L12" i="7" s="1"/>
  <c r="O12" i="7"/>
  <c r="P38" i="7"/>
  <c r="O21" i="7"/>
  <c r="P12" i="7"/>
  <c r="L9" i="7" a="1"/>
  <c r="L9" i="7" s="1"/>
  <c r="O19" i="7"/>
  <c r="P10" i="7"/>
  <c r="L34" i="7" a="1"/>
  <c r="L34" i="7" s="1"/>
  <c r="O30" i="7"/>
  <c r="L33" i="7" a="1"/>
  <c r="L33" i="7" s="1"/>
  <c r="L20" i="7" a="1"/>
  <c r="L20" i="7" s="1"/>
  <c r="O28" i="7"/>
  <c r="P31" i="7"/>
  <c r="O39" i="7"/>
  <c r="P18" i="7"/>
  <c r="L46" i="7" a="1"/>
  <c r="L46" i="7" s="1"/>
  <c r="N6" i="3"/>
  <c r="N4" i="3"/>
  <c r="N5" i="3"/>
  <c r="O44"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E1B6E4A-C5B2-463F-B503-3EA1F4336FAF}" keepAlive="1" name="Query - Pw" description="Connection to the 'Pw' query in the workbook." type="5" refreshedVersion="8" background="1" saveData="1">
    <dbPr connection="Provider=Microsoft.Mashup.OleDb.1;Data Source=$Workbook$;Location=Pw;Extended Properties=&quot;&quot;" command="SELECT * FROM [P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<sst xmlns="http://schemas.openxmlformats.org/spreadsheetml/2006/main" count="3219" uniqueCount="134">
  <si>
    <t>OrderID</t>
  </si>
  <si>
    <t>Date</t>
  </si>
  <si>
    <t>Customer</t>
  </si>
  <si>
    <t>City</t>
  </si>
  <si>
    <t>Product</t>
  </si>
  <si>
    <t>Category</t>
  </si>
  <si>
    <t>Quantity</t>
  </si>
  <si>
    <t>UnitPrice</t>
  </si>
  <si>
    <t>PaymentMode</t>
  </si>
  <si>
    <t>Salesperson</t>
  </si>
  <si>
    <t>Rahul</t>
  </si>
  <si>
    <t>Lucknow</t>
  </si>
  <si>
    <t>Laptop</t>
  </si>
  <si>
    <t>Electronics</t>
  </si>
  <si>
    <t>UPI</t>
  </si>
  <si>
    <t>Amit</t>
  </si>
  <si>
    <t>Priya</t>
  </si>
  <si>
    <t>Kanpur</t>
  </si>
  <si>
    <t>Smartphone</t>
  </si>
  <si>
    <t>Card</t>
  </si>
  <si>
    <t>Neha</t>
  </si>
  <si>
    <t>Ankit</t>
  </si>
  <si>
    <t>Delhi</t>
  </si>
  <si>
    <t>Keyboard</t>
  </si>
  <si>
    <t>Accessories</t>
  </si>
  <si>
    <t>Cash</t>
  </si>
  <si>
    <t>Rohit</t>
  </si>
  <si>
    <t>Sneha</t>
  </si>
  <si>
    <t>Mouse</t>
  </si>
  <si>
    <t>Vivek</t>
  </si>
  <si>
    <t>Jaipur</t>
  </si>
  <si>
    <t>Headphones</t>
  </si>
  <si>
    <t>Pooja</t>
  </si>
  <si>
    <t>Monitor</t>
  </si>
  <si>
    <t>Arjun</t>
  </si>
  <si>
    <t>Kavita</t>
  </si>
  <si>
    <t>Printer</t>
  </si>
  <si>
    <t>Riya</t>
  </si>
  <si>
    <t>Agra</t>
  </si>
  <si>
    <t>Mohit</t>
  </si>
  <si>
    <t>Nisha</t>
  </si>
  <si>
    <t>Karan</t>
  </si>
  <si>
    <t>Simran</t>
  </si>
  <si>
    <t>Aditya</t>
  </si>
  <si>
    <t>Meena</t>
  </si>
  <si>
    <t>Aman</t>
  </si>
  <si>
    <t>Shreya</t>
  </si>
  <si>
    <t>Saurabh</t>
  </si>
  <si>
    <t>Raj</t>
  </si>
  <si>
    <t>Tanya</t>
  </si>
  <si>
    <t>Deepak</t>
  </si>
  <si>
    <t>Aarti</t>
  </si>
  <si>
    <t>Manish</t>
  </si>
  <si>
    <t>Jyoti</t>
  </si>
  <si>
    <t>Rakesh</t>
  </si>
  <si>
    <t>Pankaj</t>
  </si>
  <si>
    <t>Komal</t>
  </si>
  <si>
    <t>Varun</t>
  </si>
  <si>
    <t>Anjali</t>
  </si>
  <si>
    <t>Harish</t>
  </si>
  <si>
    <t>Preeti</t>
  </si>
  <si>
    <t>Naveen</t>
  </si>
  <si>
    <t>Sakshi</t>
  </si>
  <si>
    <t>Yash</t>
  </si>
  <si>
    <t>Isha</t>
  </si>
  <si>
    <t>Sameer</t>
  </si>
  <si>
    <t>Divya</t>
  </si>
  <si>
    <t>Ashish</t>
  </si>
  <si>
    <t>Priti</t>
  </si>
  <si>
    <t>Monika</t>
  </si>
  <si>
    <t>Tarun</t>
  </si>
  <si>
    <t>Ritu</t>
  </si>
  <si>
    <t>Gaurav</t>
  </si>
  <si>
    <t>Shalini</t>
  </si>
  <si>
    <t>Vikas</t>
  </si>
  <si>
    <t>Payal</t>
  </si>
  <si>
    <t>Nitin</t>
  </si>
  <si>
    <t>Sonam</t>
  </si>
  <si>
    <t>headphones</t>
  </si>
  <si>
    <t xml:space="preserve">Max Sales </t>
  </si>
  <si>
    <t xml:space="preserve">Min Sales </t>
  </si>
  <si>
    <t>Avg Sales</t>
  </si>
  <si>
    <t>Sales</t>
  </si>
  <si>
    <r>
      <rPr>
        <b/>
        <sz val="11"/>
        <color theme="8" tint="-0.499984740745262"/>
        <rFont val="Calibri"/>
        <family val="2"/>
        <scheme val="minor"/>
      </rPr>
      <t>Total Sales</t>
    </r>
    <r>
      <rPr>
        <b/>
        <sz val="11"/>
        <color theme="9" tint="-0.249977111117893"/>
        <rFont val="Calibri"/>
        <family val="2"/>
        <scheme val="minor"/>
      </rPr>
      <t xml:space="preserve"> </t>
    </r>
  </si>
  <si>
    <t>Soting By Name (From A to Z)</t>
  </si>
  <si>
    <t>Soting By Name (From  Z to A)</t>
  </si>
  <si>
    <t xml:space="preserve">Multi -Level Sorting </t>
  </si>
  <si>
    <t>agra</t>
  </si>
  <si>
    <t>Filter by Category</t>
  </si>
  <si>
    <t xml:space="preserve">Table  Creation </t>
  </si>
  <si>
    <t>Total Sal</t>
  </si>
  <si>
    <t>IFS</t>
  </si>
  <si>
    <t>Naha</t>
  </si>
  <si>
    <t xml:space="preserve">Total Sale </t>
  </si>
  <si>
    <t xml:space="preserve">Avg Sale </t>
  </si>
  <si>
    <t>Logical Formula ( IF , IFS , SumIF,AverageIF)</t>
  </si>
  <si>
    <t>SumIF, AverageIF</t>
  </si>
  <si>
    <t>VLOOKUP</t>
  </si>
  <si>
    <t>INDEX AND MATCH</t>
  </si>
  <si>
    <t>Customer Name   TOTAL SALES</t>
  </si>
  <si>
    <t>Payment</t>
  </si>
  <si>
    <t>XLOOKUP</t>
  </si>
  <si>
    <t>Merged.1</t>
  </si>
  <si>
    <t>Merged.2</t>
  </si>
  <si>
    <t>RahulLucknow</t>
  </si>
  <si>
    <t>SnehaLucknow</t>
  </si>
  <si>
    <t>PoojaDelhi</t>
  </si>
  <si>
    <t>RiyaAgra</t>
  </si>
  <si>
    <t>NishaLucknow</t>
  </si>
  <si>
    <t>SimranKanpur</t>
  </si>
  <si>
    <t>Amanagra</t>
  </si>
  <si>
    <t>NehaAgra</t>
  </si>
  <si>
    <t>TanyaLucknow</t>
  </si>
  <si>
    <t>ManishAgra</t>
  </si>
  <si>
    <t>PankajDelhi</t>
  </si>
  <si>
    <t>AnjaliJaipur</t>
  </si>
  <si>
    <t>PreetiDelhi</t>
  </si>
  <si>
    <t>YashJaipur</t>
  </si>
  <si>
    <t>SameerDelhi</t>
  </si>
  <si>
    <t>PritiJaipur</t>
  </si>
  <si>
    <t>TarunKanpur</t>
  </si>
  <si>
    <t>GauravJaipur</t>
  </si>
  <si>
    <t>PayalKanpur</t>
  </si>
  <si>
    <t>Column1</t>
  </si>
  <si>
    <t>Column2</t>
  </si>
  <si>
    <t>Column3</t>
  </si>
  <si>
    <t>Column4</t>
  </si>
  <si>
    <t>Column5</t>
  </si>
  <si>
    <t>Column6</t>
  </si>
  <si>
    <t>Column7</t>
  </si>
  <si>
    <t>Column8</t>
  </si>
  <si>
    <t>Column9</t>
  </si>
  <si>
    <t>Column10</t>
  </si>
  <si>
    <t>Column11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</si>
</sst>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quot;₹&quot;\ #,##0.00"/>
  </numFmts>
  <fonts count="15" x14ac:knownFonts="1">
    <font>
      <sz val="11"/>
      <color theme="1"/>
      <name val="Calibri"/>
      <family val="2"/>
      <scheme val="minor"/>
    </font>
    <font>
      <b/>
      <sz val="11"/>
      <color theme="1"/>
      <name val="Calibri"/>
      <family val="2"/>
      <scheme val="minor"/>
    </font>
    <font>
      <b/>
      <sz val="11"/>
      <color theme="9" tint="0.79998168889431442"/>
      <name val="Calibri"/>
      <family val="2"/>
      <scheme val="minor"/>
    </font>
    <font>
      <b/>
      <sz val="11"/>
      <color theme="9" tint="-0.249977111117893"/>
      <name val="Calibri"/>
      <family val="2"/>
      <scheme val="minor"/>
    </font>
    <font>
      <b/>
      <sz val="11"/>
      <color theme="8" tint="-0.499984740745262"/>
      <name val="Calibri"/>
      <family val="2"/>
      <scheme val="minor"/>
    </font>
    <font>
      <b/>
      <sz val="14"/>
      <color theme="1"/>
      <name val="Calibri"/>
      <family val="2"/>
      <scheme val="minor"/>
    </font>
    <font>
      <sz val="14"/>
      <color theme="1"/>
      <name val="Calibri"/>
      <family val="2"/>
      <scheme val="minor"/>
    </font>
    <font>
      <sz val="11"/>
      <color theme="1"/>
      <name val="Calibri"/>
      <family val="2"/>
      <scheme val="minor"/>
    </font>
    <font>
      <b/>
      <sz val="11"/>
      <color theme="9" tint="-0.499984740745262"/>
      <name val="Calibri"/>
      <family val="2"/>
      <scheme val="minor"/>
    </font>
    <font>
      <b/>
      <sz val="14"/>
      <color theme="9" tint="-0.499984740745262"/>
      <name val="Calibri"/>
      <family val="2"/>
      <scheme val="minor"/>
    </font>
    <font>
      <sz val="11"/>
      <color theme="5" tint="0.79998168889431442"/>
      <name val="Calibri"/>
      <family val="2"/>
      <scheme val="minor"/>
    </font>
    <font>
      <b/>
      <sz val="14"/>
      <color theme="5" tint="0.79998168889431442"/>
      <name val="Calibri"/>
      <family val="2"/>
      <scheme val="minor"/>
    </font>
    <font>
      <sz val="11"/>
      <color theme="9" tint="-0.499984740745262"/>
      <name val="Calibri"/>
      <family val="2"/>
      <scheme val="minor"/>
    </font>
    <font>
      <sz val="11"/>
      <color theme="9" tint="-0.249977111117893"/>
      <name val="Calibri"/>
      <family val="2"/>
      <scheme val="minor"/>
    </font>
    <font>
      <sz val="8"/>
      <name val="Calibri"/>
      <family val="2"/>
      <scheme val="minor"/>
    </font>
  </fonts>
  <fills count="10">
    <fill>
      <patternFill patternType="none"/>
    </fill>
    <fill>
      <patternFill patternType="gray125"/>
    </fill>
    <fill>
      <patternFill patternType="solid">
        <fgColor theme="9" tint="-0.249977111117893"/>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2" tint="-0.749992370372631"/>
        <bgColor indexed="64"/>
      </patternFill>
    </fill>
    <fill>
      <patternFill patternType="solid">
        <fgColor theme="4" tint="0.79998168889431442"/>
        <bgColor theme="4" tint="0.79998168889431442"/>
      </patternFill>
    </fill>
  </fills>
  <borders count="49">
    <border>
      <left/>
      <right/>
      <top/>
      <bottom/>
      <diagonal/>
    </border>
    <border>
      <left style="thick">
        <color auto="1"/>
      </left>
      <right style="medium">
        <color auto="1"/>
      </right>
      <top style="thick">
        <color auto="1"/>
      </top>
      <bottom style="medium">
        <color auto="1"/>
      </bottom>
      <diagonal/>
    </border>
    <border>
      <left style="medium">
        <color auto="1"/>
      </left>
      <right style="medium">
        <color auto="1"/>
      </right>
      <top style="thick">
        <color auto="1"/>
      </top>
      <bottom style="medium">
        <color auto="1"/>
      </bottom>
      <diagonal/>
    </border>
    <border>
      <left style="medium">
        <color auto="1"/>
      </left>
      <right style="thick">
        <color auto="1"/>
      </right>
      <top style="thick">
        <color auto="1"/>
      </top>
      <bottom style="medium">
        <color auto="1"/>
      </bottom>
      <diagonal/>
    </border>
    <border>
      <left style="thick">
        <color auto="1"/>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ck">
        <color auto="1"/>
      </right>
      <top style="medium">
        <color auto="1"/>
      </top>
      <bottom style="medium">
        <color auto="1"/>
      </bottom>
      <diagonal/>
    </border>
    <border>
      <left style="thick">
        <color auto="1"/>
      </left>
      <right style="medium">
        <color auto="1"/>
      </right>
      <top style="medium">
        <color auto="1"/>
      </top>
      <bottom style="thick">
        <color auto="1"/>
      </bottom>
      <diagonal/>
    </border>
    <border>
      <left style="medium">
        <color auto="1"/>
      </left>
      <right style="medium">
        <color auto="1"/>
      </right>
      <top style="medium">
        <color auto="1"/>
      </top>
      <bottom style="thick">
        <color auto="1"/>
      </bottom>
      <diagonal/>
    </border>
    <border>
      <left style="medium">
        <color auto="1"/>
      </left>
      <right style="thick">
        <color auto="1"/>
      </right>
      <top style="medium">
        <color auto="1"/>
      </top>
      <bottom style="thick">
        <color auto="1"/>
      </bottom>
      <diagonal/>
    </border>
    <border>
      <left/>
      <right/>
      <top/>
      <bottom style="thick">
        <color auto="1"/>
      </bottom>
      <diagonal/>
    </border>
    <border>
      <left style="medium">
        <color auto="1"/>
      </left>
      <right style="medium">
        <color auto="1"/>
      </right>
      <top style="medium">
        <color auto="1"/>
      </top>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style="medium">
        <color auto="1"/>
      </top>
      <bottom/>
      <diagonal/>
    </border>
    <border>
      <left style="medium">
        <color auto="1"/>
      </left>
      <right/>
      <top style="medium">
        <color auto="1"/>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auto="1"/>
      </left>
      <right/>
      <top style="medium">
        <color auto="1"/>
      </top>
      <bottom style="thick">
        <color auto="1"/>
      </bottom>
      <diagonal/>
    </border>
    <border>
      <left style="thick">
        <color auto="1"/>
      </left>
      <right/>
      <top style="thick">
        <color auto="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auto="1"/>
      </left>
      <right/>
      <top style="thick">
        <color auto="1"/>
      </top>
      <bottom/>
      <diagonal/>
    </border>
    <border>
      <left style="medium">
        <color auto="1"/>
      </left>
      <right style="thick">
        <color auto="1"/>
      </right>
      <top style="thick">
        <color auto="1"/>
      </top>
      <bottom/>
      <diagonal/>
    </border>
    <border>
      <left style="thick">
        <color auto="1"/>
      </left>
      <right/>
      <top style="medium">
        <color auto="1"/>
      </top>
      <bottom/>
      <diagonal/>
    </border>
    <border>
      <left style="medium">
        <color auto="1"/>
      </left>
      <right style="thick">
        <color auto="1"/>
      </right>
      <top style="medium">
        <color auto="1"/>
      </top>
      <bottom/>
      <diagonal/>
    </border>
    <border>
      <left style="thick">
        <color auto="1"/>
      </left>
      <right/>
      <top style="medium">
        <color auto="1"/>
      </top>
      <bottom style="medium">
        <color auto="1"/>
      </bottom>
      <diagonal/>
    </border>
    <border>
      <left style="thick">
        <color auto="1"/>
      </left>
      <right/>
      <top style="medium">
        <color auto="1"/>
      </top>
      <bottom style="thick">
        <color auto="1"/>
      </bottom>
      <diagonal/>
    </border>
    <border>
      <left style="thick">
        <color auto="1"/>
      </left>
      <right style="medium">
        <color auto="1"/>
      </right>
      <top/>
      <bottom style="medium">
        <color auto="1"/>
      </bottom>
      <diagonal/>
    </border>
    <border>
      <left style="medium">
        <color auto="1"/>
      </left>
      <right style="thick">
        <color auto="1"/>
      </right>
      <top/>
      <bottom style="medium">
        <color auto="1"/>
      </bottom>
      <diagonal/>
    </border>
  </borders>
  <cellStyleXfs count="2">
    <xf numFmtId="0" fontId="0" fillId="0" borderId="0"/>
    <xf numFmtId="43" fontId="7" fillId="0" borderId="0" applyFont="0" applyFill="0" applyBorder="0" applyAlignment="0" applyProtection="0"/>
  </cellStyleXfs>
  <cellXfs count="121">
    <xf numFmtId="0" fontId="0" fillId="0" borderId="0" xfId="0"/>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5" xfId="0" applyBorder="1" applyAlignment="1">
      <alignment horizontal="center" vertical="center" wrapText="1"/>
    </xf>
    <xf numFmtId="0" fontId="2" fillId="2" borderId="1" xfId="0" applyFont="1" applyFill="1" applyBorder="1" applyAlignment="1">
      <alignment horizontal="center" vertical="center" wrapText="1"/>
    </xf>
    <xf numFmtId="0" fontId="0" fillId="0" borderId="4" xfId="0" applyBorder="1" applyAlignment="1">
      <alignment horizontal="center" vertical="center" wrapText="1"/>
    </xf>
    <xf numFmtId="14" fontId="0" fillId="0" borderId="5" xfId="0" applyNumberFormat="1"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14" fontId="0" fillId="0" borderId="8" xfId="0" applyNumberForma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164" fontId="2" fillId="2" borderId="2" xfId="0" applyNumberFormat="1" applyFont="1" applyFill="1" applyBorder="1" applyAlignment="1">
      <alignment horizontal="center" vertical="center" wrapText="1"/>
    </xf>
    <xf numFmtId="164" fontId="0" fillId="0" borderId="5" xfId="0" applyNumberFormat="1" applyBorder="1" applyAlignment="1">
      <alignment horizontal="center" vertical="center" wrapText="1"/>
    </xf>
    <xf numFmtId="164" fontId="0" fillId="0" borderId="8" xfId="0" applyNumberFormat="1" applyBorder="1" applyAlignment="1">
      <alignment horizontal="center" vertical="center" wrapText="1"/>
    </xf>
    <xf numFmtId="164" fontId="0" fillId="0" borderId="0" xfId="0" applyNumberFormat="1"/>
    <xf numFmtId="164" fontId="0" fillId="0" borderId="6" xfId="0" applyNumberFormat="1" applyBorder="1"/>
    <xf numFmtId="164" fontId="0" fillId="0" borderId="9" xfId="0" applyNumberFormat="1" applyBorder="1"/>
    <xf numFmtId="0" fontId="1" fillId="3" borderId="1" xfId="0" applyFont="1" applyFill="1" applyBorder="1"/>
    <xf numFmtId="164" fontId="1" fillId="3" borderId="4" xfId="0" applyNumberFormat="1" applyFont="1" applyFill="1" applyBorder="1"/>
    <xf numFmtId="164" fontId="0" fillId="3" borderId="3" xfId="0" applyNumberFormat="1" applyFill="1" applyBorder="1"/>
    <xf numFmtId="164" fontId="0" fillId="3" borderId="6" xfId="0" applyNumberFormat="1" applyFill="1" applyBorder="1"/>
    <xf numFmtId="0" fontId="1" fillId="3" borderId="4" xfId="0" applyFont="1" applyFill="1" applyBorder="1"/>
    <xf numFmtId="0" fontId="3" fillId="3" borderId="7" xfId="0" applyFont="1" applyFill="1" applyBorder="1"/>
    <xf numFmtId="164" fontId="3" fillId="3" borderId="9" xfId="0" applyNumberFormat="1" applyFont="1" applyFill="1" applyBorder="1"/>
    <xf numFmtId="14" fontId="0" fillId="0" borderId="11" xfId="0" applyNumberFormat="1" applyBorder="1" applyAlignment="1">
      <alignment horizontal="center" vertical="center" wrapText="1"/>
    </xf>
    <xf numFmtId="0" fontId="0" fillId="0" borderId="11" xfId="0" applyBorder="1" applyAlignment="1">
      <alignment horizontal="center" vertical="center" wrapText="1"/>
    </xf>
    <xf numFmtId="164" fontId="0" fillId="0" borderId="11" xfId="0" applyNumberFormat="1"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2" fillId="2" borderId="14" xfId="0" applyFont="1" applyFill="1" applyBorder="1" applyAlignment="1">
      <alignment horizontal="center" vertical="center" wrapText="1"/>
    </xf>
    <xf numFmtId="0" fontId="2" fillId="2" borderId="15" xfId="0" applyFont="1" applyFill="1" applyBorder="1" applyAlignment="1">
      <alignment horizontal="center" vertical="center" wrapText="1"/>
    </xf>
    <xf numFmtId="164" fontId="2" fillId="2" borderId="15" xfId="0" applyNumberFormat="1" applyFont="1" applyFill="1" applyBorder="1" applyAlignment="1">
      <alignment horizontal="center" vertical="center" wrapText="1"/>
    </xf>
    <xf numFmtId="0" fontId="2" fillId="2" borderId="16" xfId="0" applyFont="1" applyFill="1"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164" fontId="0" fillId="0" borderId="15" xfId="0" applyNumberFormat="1" applyBorder="1" applyAlignment="1">
      <alignment horizontal="center" vertical="center" wrapText="1"/>
    </xf>
    <xf numFmtId="0" fontId="0" fillId="5" borderId="0" xfId="0" applyFill="1"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0" fontId="2" fillId="2" borderId="19" xfId="0" applyFont="1" applyFill="1" applyBorder="1" applyAlignment="1">
      <alignment horizontal="center" vertical="center" wrapText="1"/>
    </xf>
    <xf numFmtId="0" fontId="0" fillId="0" borderId="19" xfId="0" applyBorder="1" applyAlignment="1">
      <alignment horizontal="center" vertical="center" wrapText="1"/>
    </xf>
    <xf numFmtId="14" fontId="0" fillId="0" borderId="19" xfId="0" applyNumberFormat="1" applyBorder="1" applyAlignment="1">
      <alignment horizontal="center" vertical="center" wrapText="1"/>
    </xf>
    <xf numFmtId="164" fontId="0" fillId="0" borderId="19" xfId="0" applyNumberFormat="1" applyBorder="1" applyAlignment="1">
      <alignment horizontal="center" vertical="center" wrapText="1"/>
    </xf>
    <xf numFmtId="164" fontId="0" fillId="0" borderId="19" xfId="0" applyNumberFormat="1" applyBorder="1"/>
    <xf numFmtId="0" fontId="0" fillId="0" borderId="19" xfId="0" applyBorder="1"/>
    <xf numFmtId="0" fontId="2" fillId="2" borderId="20" xfId="0" applyFont="1" applyFill="1" applyBorder="1" applyAlignment="1">
      <alignment horizontal="center" vertical="center" wrapText="1"/>
    </xf>
    <xf numFmtId="0" fontId="2" fillId="2" borderId="21" xfId="0" applyFont="1" applyFill="1" applyBorder="1" applyAlignment="1">
      <alignment horizontal="center" vertical="center" wrapText="1"/>
    </xf>
    <xf numFmtId="164" fontId="2" fillId="2" borderId="21" xfId="0" applyNumberFormat="1" applyFont="1" applyFill="1" applyBorder="1" applyAlignment="1">
      <alignment horizontal="center" vertical="center" wrapText="1"/>
    </xf>
    <xf numFmtId="0" fontId="2" fillId="2" borderId="22" xfId="0" applyFont="1" applyFill="1" applyBorder="1" applyAlignment="1">
      <alignment horizontal="center" vertical="center" wrapText="1"/>
    </xf>
    <xf numFmtId="0" fontId="0" fillId="0" borderId="23" xfId="0" applyBorder="1" applyAlignment="1">
      <alignment horizontal="center" vertical="center" wrapText="1"/>
    </xf>
    <xf numFmtId="0" fontId="0" fillId="0" borderId="24" xfId="0" applyBorder="1"/>
    <xf numFmtId="0" fontId="0" fillId="0" borderId="25" xfId="0" applyBorder="1"/>
    <xf numFmtId="0" fontId="0" fillId="0" borderId="26" xfId="0" applyBorder="1"/>
    <xf numFmtId="0" fontId="0" fillId="0" borderId="27" xfId="0" applyBorder="1"/>
    <xf numFmtId="164" fontId="0" fillId="0" borderId="19" xfId="1" applyNumberFormat="1" applyFont="1" applyBorder="1"/>
    <xf numFmtId="164" fontId="0" fillId="0" borderId="26" xfId="1" applyNumberFormat="1" applyFont="1" applyBorder="1"/>
    <xf numFmtId="0" fontId="1" fillId="7" borderId="20" xfId="0" applyFont="1" applyFill="1" applyBorder="1"/>
    <xf numFmtId="0" fontId="1" fillId="6" borderId="21" xfId="0" applyFont="1" applyFill="1" applyBorder="1"/>
    <xf numFmtId="0" fontId="1" fillId="4" borderId="21" xfId="0" applyFont="1" applyFill="1" applyBorder="1"/>
    <xf numFmtId="0" fontId="0" fillId="0" borderId="19" xfId="0" applyBorder="1" applyAlignment="1">
      <alignment horizontal="center" vertical="center"/>
    </xf>
    <xf numFmtId="0" fontId="2" fillId="2" borderId="23" xfId="0" applyFont="1" applyFill="1" applyBorder="1" applyAlignment="1">
      <alignment horizontal="center" vertical="center" wrapText="1"/>
    </xf>
    <xf numFmtId="0" fontId="2" fillId="2" borderId="24" xfId="0" applyFont="1" applyFill="1" applyBorder="1" applyAlignment="1">
      <alignment horizontal="center" vertical="center" wrapText="1"/>
    </xf>
    <xf numFmtId="0" fontId="0" fillId="0" borderId="25" xfId="0" applyBorder="1" applyAlignment="1">
      <alignment horizontal="center" vertical="center" wrapText="1"/>
    </xf>
    <xf numFmtId="0" fontId="13" fillId="0" borderId="5" xfId="0" applyFont="1" applyBorder="1" applyAlignment="1">
      <alignment horizontal="center" vertical="center" wrapText="1"/>
    </xf>
    <xf numFmtId="0" fontId="9" fillId="4" borderId="28" xfId="0" applyFont="1" applyFill="1" applyBorder="1" applyAlignment="1">
      <alignment horizontal="center"/>
    </xf>
    <xf numFmtId="0" fontId="0" fillId="4" borderId="28" xfId="0" applyFill="1" applyBorder="1" applyAlignment="1">
      <alignment horizontal="center"/>
    </xf>
    <xf numFmtId="14" fontId="0" fillId="0" borderId="0" xfId="0" applyNumberFormat="1"/>
    <xf numFmtId="0" fontId="0" fillId="0" borderId="29" xfId="0" applyBorder="1"/>
    <xf numFmtId="0" fontId="0" fillId="0" borderId="30" xfId="0" applyBorder="1"/>
    <xf numFmtId="164" fontId="0" fillId="0" borderId="30" xfId="0" applyNumberFormat="1" applyBorder="1"/>
    <xf numFmtId="0" fontId="0" fillId="0" borderId="31" xfId="0" applyBorder="1"/>
    <xf numFmtId="0" fontId="2" fillId="2" borderId="34" xfId="0" applyFont="1" applyFill="1" applyBorder="1" applyAlignment="1">
      <alignment horizontal="center" vertical="center" wrapText="1"/>
    </xf>
    <xf numFmtId="0" fontId="0" fillId="0" borderId="34" xfId="0" applyBorder="1" applyAlignment="1">
      <alignment horizontal="center" vertical="center" wrapText="1"/>
    </xf>
    <xf numFmtId="0" fontId="2" fillId="2" borderId="35" xfId="0" applyFont="1" applyFill="1" applyBorder="1" applyAlignment="1">
      <alignment horizontal="center" vertical="center" wrapText="1"/>
    </xf>
    <xf numFmtId="0" fontId="0" fillId="0" borderId="35" xfId="0" applyBorder="1" applyAlignment="1">
      <alignment horizontal="center" vertical="center"/>
    </xf>
    <xf numFmtId="0" fontId="8" fillId="3" borderId="36" xfId="0" applyFont="1" applyFill="1" applyBorder="1" applyAlignment="1">
      <alignment horizontal="center" vertical="center"/>
    </xf>
    <xf numFmtId="0" fontId="12" fillId="3" borderId="37" xfId="0" applyFont="1" applyFill="1" applyBorder="1" applyAlignment="1">
      <alignment horizontal="center" vertical="center"/>
    </xf>
    <xf numFmtId="0" fontId="12" fillId="3" borderId="38" xfId="0" applyFont="1" applyFill="1" applyBorder="1" applyAlignment="1">
      <alignment horizontal="center" vertical="center"/>
    </xf>
    <xf numFmtId="0" fontId="0" fillId="0" borderId="39" xfId="0" applyBorder="1" applyAlignment="1">
      <alignment horizontal="center" vertical="center" wrapText="1"/>
    </xf>
    <xf numFmtId="14" fontId="0" fillId="0" borderId="30" xfId="0" applyNumberFormat="1" applyBorder="1" applyAlignment="1">
      <alignment horizontal="center" vertical="center" wrapText="1"/>
    </xf>
    <xf numFmtId="0" fontId="0" fillId="0" borderId="30" xfId="0" applyBorder="1" applyAlignment="1">
      <alignment horizontal="center" vertical="center" wrapText="1"/>
    </xf>
    <xf numFmtId="0" fontId="0" fillId="0" borderId="30" xfId="0" applyBorder="1" applyAlignment="1">
      <alignment horizontal="center" vertical="center"/>
    </xf>
    <xf numFmtId="0" fontId="0" fillId="0" borderId="40" xfId="0" applyBorder="1" applyAlignment="1">
      <alignment horizontal="center" vertical="center"/>
    </xf>
    <xf numFmtId="0" fontId="2" fillId="2" borderId="33" xfId="0" applyFont="1" applyFill="1" applyBorder="1" applyAlignment="1">
      <alignment horizontal="center" vertical="center" wrapText="1"/>
    </xf>
    <xf numFmtId="0" fontId="2" fillId="2" borderId="41" xfId="0" applyFont="1" applyFill="1" applyBorder="1" applyAlignment="1">
      <alignment horizontal="center" vertical="center" wrapText="1"/>
    </xf>
    <xf numFmtId="164" fontId="2" fillId="2" borderId="41" xfId="0" applyNumberFormat="1" applyFont="1" applyFill="1" applyBorder="1" applyAlignment="1">
      <alignment horizontal="center" vertical="center" wrapText="1"/>
    </xf>
    <xf numFmtId="0" fontId="2" fillId="2" borderId="42" xfId="0" applyFont="1" applyFill="1" applyBorder="1" applyAlignment="1">
      <alignment horizontal="center" vertical="center" wrapText="1"/>
    </xf>
    <xf numFmtId="0" fontId="0" fillId="9" borderId="43" xfId="0" applyFill="1" applyBorder="1" applyAlignment="1">
      <alignment horizontal="center" vertical="center" wrapText="1"/>
    </xf>
    <xf numFmtId="14" fontId="0" fillId="9" borderId="18" xfId="0" applyNumberFormat="1" applyFill="1" applyBorder="1" applyAlignment="1">
      <alignment horizontal="center" vertical="center" wrapText="1"/>
    </xf>
    <xf numFmtId="0" fontId="0" fillId="9" borderId="18" xfId="0" applyFill="1" applyBorder="1" applyAlignment="1">
      <alignment horizontal="center" vertical="center" wrapText="1"/>
    </xf>
    <xf numFmtId="164" fontId="0" fillId="9" borderId="18" xfId="0" applyNumberFormat="1" applyFill="1" applyBorder="1" applyAlignment="1">
      <alignment horizontal="center" vertical="center" wrapText="1"/>
    </xf>
    <xf numFmtId="0" fontId="13" fillId="9" borderId="18" xfId="0" applyFont="1" applyFill="1" applyBorder="1" applyAlignment="1">
      <alignment horizontal="center" vertical="center" wrapText="1"/>
    </xf>
    <xf numFmtId="0" fontId="0" fillId="9" borderId="44" xfId="0" applyFill="1" applyBorder="1" applyAlignment="1">
      <alignment horizontal="center" vertical="center" wrapText="1"/>
    </xf>
    <xf numFmtId="0" fontId="0" fillId="0" borderId="43" xfId="0" applyBorder="1" applyAlignment="1">
      <alignment horizontal="center" vertical="center" wrapText="1"/>
    </xf>
    <xf numFmtId="14" fontId="0" fillId="0" borderId="18" xfId="0" applyNumberFormat="1" applyBorder="1" applyAlignment="1">
      <alignment horizontal="center" vertical="center" wrapText="1"/>
    </xf>
    <xf numFmtId="164" fontId="0" fillId="0" borderId="18" xfId="0" applyNumberFormat="1" applyBorder="1" applyAlignment="1">
      <alignment horizontal="center" vertical="center" wrapText="1"/>
    </xf>
    <xf numFmtId="0" fontId="0" fillId="0" borderId="44" xfId="0" applyBorder="1" applyAlignment="1">
      <alignment horizontal="center" vertical="center" wrapText="1"/>
    </xf>
    <xf numFmtId="0" fontId="0" fillId="9" borderId="45" xfId="0" applyFill="1" applyBorder="1" applyAlignment="1">
      <alignment horizontal="center" vertical="center" wrapText="1"/>
    </xf>
    <xf numFmtId="14" fontId="0" fillId="9" borderId="13" xfId="0" applyNumberFormat="1" applyFill="1" applyBorder="1" applyAlignment="1">
      <alignment horizontal="center" vertical="center" wrapText="1"/>
    </xf>
    <xf numFmtId="0" fontId="0" fillId="9" borderId="13" xfId="0" applyFill="1" applyBorder="1" applyAlignment="1">
      <alignment horizontal="center" vertical="center" wrapText="1"/>
    </xf>
    <xf numFmtId="164" fontId="0" fillId="9" borderId="13" xfId="0" applyNumberFormat="1" applyFill="1" applyBorder="1" applyAlignment="1">
      <alignment horizontal="center" vertical="center" wrapText="1"/>
    </xf>
    <xf numFmtId="0" fontId="0" fillId="9" borderId="6" xfId="0" applyFill="1" applyBorder="1" applyAlignment="1">
      <alignment horizontal="center" vertical="center" wrapText="1"/>
    </xf>
    <xf numFmtId="0" fontId="0" fillId="0" borderId="46" xfId="0" applyBorder="1" applyAlignment="1">
      <alignment horizontal="center" vertical="center" wrapText="1"/>
    </xf>
    <xf numFmtId="14" fontId="0" fillId="0" borderId="32" xfId="0" applyNumberFormat="1" applyBorder="1" applyAlignment="1">
      <alignment horizontal="center" vertical="center" wrapText="1"/>
    </xf>
    <xf numFmtId="0" fontId="0" fillId="0" borderId="32" xfId="0" applyBorder="1" applyAlignment="1">
      <alignment horizontal="center" vertical="center" wrapText="1"/>
    </xf>
    <xf numFmtId="164" fontId="0" fillId="0" borderId="32" xfId="0" applyNumberFormat="1" applyBorder="1" applyAlignment="1">
      <alignment horizontal="center" vertical="center" wrapText="1"/>
    </xf>
    <xf numFmtId="0" fontId="0" fillId="0" borderId="0" xfId="0" applyAlignment="1">
      <alignment horizontal="center" vertical="center"/>
    </xf>
    <xf numFmtId="0" fontId="1" fillId="4" borderId="10" xfId="0" applyFont="1" applyFill="1" applyBorder="1" applyAlignment="1">
      <alignment horizontal="center" vertical="center"/>
    </xf>
    <xf numFmtId="0" fontId="0" fillId="4" borderId="10" xfId="0" applyFill="1" applyBorder="1" applyAlignment="1">
      <alignment horizontal="center" vertical="center"/>
    </xf>
    <xf numFmtId="0" fontId="5" fillId="5" borderId="10" xfId="0" applyFont="1" applyFill="1" applyBorder="1" applyAlignment="1">
      <alignment horizontal="center"/>
    </xf>
    <xf numFmtId="0" fontId="6" fillId="5" borderId="10" xfId="0" applyFont="1" applyFill="1" applyBorder="1" applyAlignment="1">
      <alignment horizontal="center"/>
    </xf>
    <xf numFmtId="0" fontId="5" fillId="5" borderId="10" xfId="0" applyFont="1" applyFill="1" applyBorder="1" applyAlignment="1">
      <alignment horizontal="center" vertical="center"/>
    </xf>
    <xf numFmtId="0" fontId="0" fillId="5" borderId="10" xfId="0" applyFill="1" applyBorder="1" applyAlignment="1">
      <alignment horizontal="center" vertical="center"/>
    </xf>
    <xf numFmtId="0" fontId="11" fillId="8" borderId="28" xfId="0" applyFont="1" applyFill="1" applyBorder="1" applyAlignment="1">
      <alignment horizontal="center"/>
    </xf>
    <xf numFmtId="0" fontId="10" fillId="8" borderId="28" xfId="0" applyFont="1" applyFill="1" applyBorder="1" applyAlignment="1">
      <alignment horizontal="center"/>
    </xf>
    <xf numFmtId="0" fontId="1" fillId="3" borderId="20" xfId="0" applyFont="1" applyFill="1" applyBorder="1" applyAlignment="1">
      <alignment horizontal="center"/>
    </xf>
    <xf numFmtId="0" fontId="0" fillId="3" borderId="22" xfId="0" applyFill="1" applyBorder="1" applyAlignment="1">
      <alignment horizontal="center"/>
    </xf>
    <xf numFmtId="0" fontId="1" fillId="3" borderId="19" xfId="0" applyFont="1" applyFill="1" applyBorder="1" applyAlignment="1">
      <alignment horizontal="center"/>
    </xf>
    <xf numFmtId="0" fontId="2" fillId="2" borderId="47" xfId="0" applyFont="1" applyFill="1" applyBorder="1" applyAlignment="1">
      <alignment horizontal="center" vertical="center" wrapText="1"/>
    </xf>
    <xf numFmtId="0" fontId="2" fillId="2" borderId="48" xfId="0" applyFont="1" applyFill="1" applyBorder="1" applyAlignment="1">
      <alignment horizontal="center" vertical="center" wrapText="1"/>
    </xf>
  </cellXfs>
  <cellStyles count="2">
    <cellStyle name="Comma" xfId="1" builtinId="3"/>
    <cellStyle name="Normal" xfId="0" builtinId="0"/>
  </cellStyles>
  <dxfs count="64">
    <dxf>
      <font>
        <b/>
        <i val="0"/>
        <strike val="0"/>
        <condense val="0"/>
        <extend val="0"/>
        <outline val="0"/>
        <shadow val="0"/>
        <u val="none"/>
        <vertAlign val="baseline"/>
        <sz val="11"/>
        <color theme="9" tint="0.79998168889431442"/>
        <name val="Calibri"/>
        <family val="2"/>
        <scheme val="minor"/>
      </font>
      <fill>
        <patternFill patternType="solid">
          <fgColor indexed="64"/>
          <bgColor theme="9" tint="-0.249977111117893"/>
        </patternFill>
      </fill>
      <alignment horizontal="center" vertical="center" textRotation="0" wrapText="1" indent="0" justifyLastLine="0" shrinkToFit="0" readingOrder="0"/>
      <border diagonalUp="0" diagonalDown="0" outline="0">
        <left style="medium">
          <color auto="1"/>
        </left>
        <right style="medium">
          <color auto="1"/>
        </right>
        <top/>
        <bottom/>
      </border>
    </dxf>
    <dxf>
      <alignment horizontal="center" vertical="center" textRotation="0" wrapText="1" indent="0" justifyLastLine="0" shrinkToFit="0" readingOrder="0"/>
    </dxf>
    <dxf>
      <alignment horizontal="center" vertical="center" textRotation="0" wrapText="1" indent="0" justifyLastLine="0" shrinkToFit="0" readingOrder="0"/>
      <border diagonalUp="0" diagonalDown="0">
        <left style="medium">
          <color auto="1"/>
        </left>
        <right style="thick">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64" formatCode="&quot;₹&quot;\ #,##0.00"/>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9" formatCode="dd/mm/yyyy"/>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thick">
          <color auto="1"/>
        </left>
        <right style="medium">
          <color auto="1"/>
        </right>
        <top style="medium">
          <color auto="1"/>
        </top>
        <bottom style="medium">
          <color auto="1"/>
        </bottom>
        <vertical/>
        <horizontal/>
      </border>
    </dxf>
    <dxf>
      <border outline="0">
        <bottom style="medium">
          <color auto="1"/>
        </bottom>
      </border>
    </dxf>
    <dxf>
      <border outline="0">
        <top style="thick">
          <color auto="1"/>
        </top>
      </border>
    </dxf>
    <dxf>
      <fill>
        <patternFill>
          <bgColor rgb="FFFFC7CE"/>
        </patternFill>
      </fill>
    </dxf>
    <dxf>
      <fill>
        <patternFill>
          <bgColor theme="5" tint="0.39994506668294322"/>
        </patternFill>
      </fill>
    </dxf>
    <dxf>
      <font>
        <color rgb="FF9C5700"/>
      </font>
      <fill>
        <patternFill>
          <bgColor rgb="FFFFEB9C"/>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medium">
          <color indexed="64"/>
        </left>
        <right style="medium">
          <color indexed="64"/>
        </right>
        <top style="medium">
          <color indexed="64"/>
        </top>
        <bottom style="medium">
          <color indexed="64"/>
        </bottom>
      </border>
    </dxf>
    <dxf>
      <border outline="0">
        <bottom style="thin">
          <color indexed="64"/>
        </bottom>
      </border>
    </dxf>
    <dxf>
      <font>
        <b val="0"/>
        <i val="0"/>
        <strike val="0"/>
        <condense val="0"/>
        <extend val="0"/>
        <outline val="0"/>
        <shadow val="0"/>
        <u val="none"/>
        <vertAlign val="baseline"/>
        <sz val="11"/>
        <color theme="9" tint="-0.499984740745262"/>
        <name val="Calibri"/>
        <family val="2"/>
        <scheme val="minor"/>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medium">
          <color indexed="64"/>
        </right>
        <top style="thin">
          <color indexed="64"/>
        </top>
        <bottom style="thin">
          <color indexed="64"/>
        </bottom>
        <vertical/>
        <horizontal/>
      </border>
    </dxf>
    <dxf>
      <numFmt numFmtId="164" formatCode="&quot;₹&quot;\ #,##0.0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quot;₹&quot;\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medium">
          <color indexed="64"/>
        </left>
        <right style="thin">
          <color indexed="64"/>
        </right>
        <top style="thin">
          <color indexed="64"/>
        </top>
        <bottom style="thin">
          <color indexed="64"/>
        </bottom>
        <vertical/>
        <horizontal/>
      </border>
    </dxf>
    <dxf>
      <border outline="0">
        <bottom style="medium">
          <color indexed="64"/>
        </bottom>
      </border>
    </dxf>
    <dxf>
      <border outline="0">
        <bottom style="medium">
          <color indexed="64"/>
        </bottom>
      </border>
    </dxf>
    <dxf>
      <fill>
        <patternFill patternType="solid">
          <fgColor indexed="64"/>
          <bgColor theme="9" tint="0.59999389629810485"/>
        </patternFill>
      </fill>
      <alignment horizontal="center" vertical="bottom" textRotation="0" wrapText="0" indent="0" justifyLastLine="0" shrinkToFit="0" readingOrder="0"/>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64" formatCode="&quot;₹&quot;\ #,##0.00"/>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9" formatCode="dd/mm/yyyy"/>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right style="medium">
          <color auto="1"/>
        </right>
        <top style="medium">
          <color auto="1"/>
        </top>
        <bottom style="medium">
          <color auto="1"/>
        </bottom>
        <vertical/>
        <horizontal/>
      </border>
    </dxf>
    <dxf>
      <border outline="0">
        <top style="medium">
          <color auto="1"/>
        </top>
      </border>
    </dxf>
    <dxf>
      <border outline="0">
        <left style="thick">
          <color auto="1"/>
        </left>
        <right style="thick">
          <color auto="1"/>
        </right>
        <top style="thick">
          <color auto="1"/>
        </top>
        <bottom style="thick">
          <color auto="1"/>
        </bottom>
      </border>
    </dxf>
    <dxf>
      <alignment horizontal="center" vertical="center" textRotation="0" wrapText="1" indent="0" justifyLastLine="0" shrinkToFit="0" readingOrder="0"/>
    </dxf>
    <dxf>
      <border outline="0">
        <bottom style="medium">
          <color auto="1"/>
        </bottom>
      </border>
    </dxf>
    <dxf>
      <font>
        <b/>
        <i val="0"/>
        <strike val="0"/>
        <condense val="0"/>
        <extend val="0"/>
        <outline val="0"/>
        <shadow val="0"/>
        <u val="none"/>
        <vertAlign val="baseline"/>
        <sz val="11"/>
        <color theme="9" tint="0.79998168889431442"/>
        <name val="Calibri"/>
        <family val="2"/>
        <scheme val="minor"/>
      </font>
      <fill>
        <patternFill patternType="solid">
          <fgColor indexed="64"/>
          <bgColor theme="9" tint="-0.249977111117893"/>
        </patternFill>
      </fill>
      <alignment horizontal="center" vertical="center" textRotation="0" wrapText="1" indent="0" justifyLastLine="0" shrinkToFit="0" readingOrder="0"/>
      <border diagonalUp="0" diagonalDown="0" outline="0">
        <left style="medium">
          <color auto="1"/>
        </left>
        <right style="medium">
          <color auto="1"/>
        </right>
        <top/>
        <bottom/>
      </border>
    </dxf>
  </dxfs>
  <tableStyles count="0" defaultTableStyle="TableStyleMedium2" defaultPivotStyle="PivotStyleLight16"/>
  <colors>
    <mruColors>
      <color rgb="FFFF33CC"/>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14</xdr:col>
      <xdr:colOff>533400</xdr:colOff>
      <xdr:row>16</xdr:row>
      <xdr:rowOff>114301</xdr:rowOff>
    </xdr:from>
    <xdr:to>
      <xdr:col>17</xdr:col>
      <xdr:colOff>533400</xdr:colOff>
      <xdr:row>28</xdr:row>
      <xdr:rowOff>144781</xdr:rowOff>
    </xdr:to>
    <mc:AlternateContent xmlns:mc="http://schemas.openxmlformats.org/markup-compatibility/2006" xmlns:sle15="http://schemas.microsoft.com/office/drawing/2012/slicer">
      <mc:Choice Requires="sle15">
        <xdr:graphicFrame macro="">
          <xdr:nvGraphicFramePr>
            <xdr:cNvPr id="2" name="Category">
              <a:extLst>
                <a:ext uri="{FF2B5EF4-FFF2-40B4-BE49-F238E27FC236}">
                  <a16:creationId xmlns:a16="http://schemas.microsoft.com/office/drawing/2014/main" id="{4FE1CD0C-6300-CDD0-2E22-4800EC3CC2F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759440" y="1882141"/>
              <a:ext cx="1828800" cy="136398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518160</xdr:colOff>
      <xdr:row>0</xdr:row>
      <xdr:rowOff>167641</xdr:rowOff>
    </xdr:from>
    <xdr:to>
      <xdr:col>17</xdr:col>
      <xdr:colOff>518160</xdr:colOff>
      <xdr:row>14</xdr:row>
      <xdr:rowOff>137161</xdr:rowOff>
    </xdr:to>
    <mc:AlternateContent xmlns:mc="http://schemas.openxmlformats.org/markup-compatibility/2006" xmlns:sle15="http://schemas.microsoft.com/office/drawing/2012/slicer">
      <mc:Choice Requires="sle15">
        <xdr:graphicFrame macro="">
          <xdr:nvGraphicFramePr>
            <xdr:cNvPr id="3" name="PaymentMode">
              <a:extLst>
                <a:ext uri="{FF2B5EF4-FFF2-40B4-BE49-F238E27FC236}">
                  <a16:creationId xmlns:a16="http://schemas.microsoft.com/office/drawing/2014/main" id="{FD2EEB4A-06A5-1932-2A38-D9F5E8027359}"/>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mlns="">
        <xdr:sp macro="" textlink="">
          <xdr:nvSpPr>
            <xdr:cNvPr id="0" name=""/>
            <xdr:cNvSpPr>
              <a:spLocks noTextEdit="1"/>
            </xdr:cNvSpPr>
          </xdr:nvSpPr>
          <xdr:spPr>
            <a:xfrm>
              <a:off x="10744200" y="16764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C5B9B01-5E92-4CC8-A1A4-E78B794A041C}" autoFormatId="16" applyNumberFormats="0" applyBorderFormats="0" applyFontFormats="0" applyPatternFormats="0" applyAlignmentFormats="0" applyWidthHeightFormats="0">
  <queryTableRefresh nextId="11">
    <queryTableFields count="10">
      <queryTableField id="1" name="OrderID" tableColumnId="1"/>
      <queryTableField id="2" name="Date" tableColumnId="2"/>
      <queryTableField id="3" name="Merged.1" tableColumnId="3"/>
      <queryTableField id="4" name="Merged.2" tableColumnId="4"/>
      <queryTableField id="5" name="Product" tableColumnId="5"/>
      <queryTableField id="6" name="Category" tableColumnId="6"/>
      <queryTableField id="7" name="Quantity" tableColumnId="7"/>
      <queryTableField id="8" name="UnitPrice" tableColumnId="8"/>
      <queryTableField id="9" name="PaymentMode" tableColumnId="9"/>
      <queryTableField id="10" name="Salesperson"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43F5B86-4B8B-4109-B14E-63166418B6C4}" sourceName="Category">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68D4D030-10C3-45BD-B077-8BB04F28F160}" sourceName="PaymentMode">
  <extLst>
    <x:ext xmlns:x15="http://schemas.microsoft.com/office/spreadsheetml/2010/11/main" uri="{2F2917AC-EB37-4324-AD4E-5DD8C200BD13}">
      <x15:tableSlicerCache tableId="2"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1265C13-13E6-4D18-A277-9299DDDED764}" cache="Slicer_Category" caption="Category" rowHeight="234950"/>
  <slicer name="PaymentMode" xr10:uid="{785D37D0-DBBA-49A5-BE3A-F5AF1EBA2421}" cache="Slicer_PaymentMode" caption="PaymentMode" rowHeight="234950"/>
</slicers>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40A2E6-9EF9-4A23-B4F1-36607D28E91E}" name="Table2" displayName="Table2" ref="A2:K52" totalsRowShown="0" headerRowDxfId="63" dataDxfId="61" headerRowBorderDxfId="62" tableBorderDxfId="60" totalsRowBorderDxfId="59">
  <autoFilter ref="A2:K52" xr:uid="{0A40A2E6-9EF9-4A23-B4F1-36607D28E91E}">
    <filterColumn colId="5">
      <filters>
        <filter val="Electronics"/>
      </filters>
    </filterColumn>
    <filterColumn colId="8">
      <filters>
        <filter val="Card"/>
        <filter val="UPI"/>
      </filters>
    </filterColumn>
  </autoFilter>
  <tableColumns count="11">
    <tableColumn id="1" xr3:uid="{F20047A1-28CA-4A2E-9700-EE85CD967777}" name="OrderID" dataDxfId="58"/>
    <tableColumn id="2" xr3:uid="{38D9ABC4-7A81-4317-8CAA-E808FA6A19E6}" name="Date" dataDxfId="57"/>
    <tableColumn id="3" xr3:uid="{83CF5A52-5AA1-420E-A0EB-5A173A27E6F4}" name="Customer" dataDxfId="56"/>
    <tableColumn id="4" xr3:uid="{9137BB94-ADC5-4CE6-89AE-AA2D1B9D0E25}" name="City" dataDxfId="55"/>
    <tableColumn id="5" xr3:uid="{1433C48A-095C-457E-99CD-EDEEE68C5541}" name="Product" dataDxfId="54"/>
    <tableColumn id="6" xr3:uid="{DD554F32-43E4-46AC-976E-F414A48908A6}" name="Category" dataDxfId="53"/>
    <tableColumn id="7" xr3:uid="{5A226ED8-2D5A-49C5-BBF9-B33FBC37A3AD}" name="Quantity" dataDxfId="52"/>
    <tableColumn id="8" xr3:uid="{2B6B6351-50CA-4CE2-A6DF-A1CB48D6DA61}" name="UnitPrice" dataDxfId="51"/>
    <tableColumn id="9" xr3:uid="{2FD782BE-192E-4C3F-9D63-33A3852C92BA}" name="PaymentMode" dataDxfId="50"/>
    <tableColumn id="10" xr3:uid="{C89072BA-5DCB-44F9-A7AE-F51D0432AA7C}" name="Salesperson" dataDxfId="49"/>
    <tableColumn id="11" xr3:uid="{79D75163-9AC6-4E8C-B655-F7AAF75FA590}" name="Total Sal" dataDxfId="48"/>
  </tableColumns>
  <tableStyleInfo name="TableStyleLight21" showFirstColumn="0" showLastColumn="0" showRowStripes="0"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4D08C8A-D6E2-446F-A402-A68828AFFB86}" name="Table4" displayName="Table4" ref="A1:L53" totalsRowShown="0" headerRowDxfId="47" headerRowBorderDxfId="46" tableBorderDxfId="45">
  <autoFilter ref="A1:L53" xr:uid="{84D08C8A-D6E2-446F-A402-A68828AFFB86}"/>
  <tableColumns count="12">
    <tableColumn id="1" xr3:uid="{927342FC-7544-4D04-BBF4-18194D4D9B09}" name="Logical Formula ( IF , IFS , SumIF,AverageIF)" dataDxfId="44"/>
    <tableColumn id="2" xr3:uid="{16ADD87B-C966-4C56-ADD1-D2C34E8C7480}" name="Column1" dataDxfId="43"/>
    <tableColumn id="3" xr3:uid="{910ACB65-389B-49E4-B533-CFD93B79E023}" name="Column2" dataDxfId="42"/>
    <tableColumn id="4" xr3:uid="{DDF0E6CD-1287-4977-BB5E-D7EC347D864C}" name="Column3" dataDxfId="41"/>
    <tableColumn id="5" xr3:uid="{6BFA876E-A610-4EA7-8D7C-EAFE444735FB}" name="Column4" dataDxfId="40"/>
    <tableColumn id="6" xr3:uid="{D836146A-2E18-4F34-AC10-7EFBB311C850}" name="Column5" dataDxfId="39"/>
    <tableColumn id="7" xr3:uid="{E39E8E2B-42EA-4695-8C15-7ED40ABC0A3D}" name="Column6" dataDxfId="38"/>
    <tableColumn id="8" xr3:uid="{C230F558-B36F-443F-881C-CC2B46BAA85A}" name="Column7" dataDxfId="37"/>
    <tableColumn id="9" xr3:uid="{35AFF00F-B25C-43E2-ACD3-D795AC4AE9B8}" name="Column8" dataDxfId="36"/>
    <tableColumn id="10" xr3:uid="{34FB27EE-6F9B-497C-A8E4-EDAF64E0F908}" name="Column9" dataDxfId="35"/>
    <tableColumn id="11" xr3:uid="{C3CCC5E6-383A-42C5-805C-EC99F3D1FEE3}" name="Column10" dataDxfId="34"/>
    <tableColumn id="12" xr3:uid="{CD08BF17-1F02-4F65-A768-D94DF7FE562B}" name="Column11" dataDxfId="33">
      <calculatedColumnFormula array="1">_xlfn.IFS(K2&gt;=100000,"Great Sale",K2&gt;=50000,"Good Sale",K2&gt;=30,"Avg Sale",K2&lt;=10000,"Poor Sale")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9854BB7-7DC5-4F02-B154-4F3C85BE0C67}" name="Table6" displayName="Table6" ref="A1:E14" totalsRowShown="0" headerRowDxfId="32" headerRowBorderDxfId="31" tableBorderDxfId="30" totalsRowBorderDxfId="29">
  <autoFilter ref="A1:E14" xr:uid="{E9854BB7-7DC5-4F02-B154-4F3C85BE0C67}"/>
  <tableColumns count="5">
    <tableColumn id="1" xr3:uid="{0D5DC985-D11E-42E7-ADF6-9B3A07CB97FA}" name="VLOOKUP" dataDxfId="28"/>
    <tableColumn id="2" xr3:uid="{2CF48943-68C7-4876-A648-B1FDEAABE887}" name="Column1" dataDxfId="27"/>
    <tableColumn id="3" xr3:uid="{666BB122-921D-4252-95C9-624CDC351FB8}" name="Column2" dataDxfId="26"/>
    <tableColumn id="4" xr3:uid="{231BDF9D-8B44-469C-9D6B-C570D2B06C46}" name="Column3" dataDxfId="25">
      <calculatedColumnFormula>VLOOKUP(A2,'Logical formula'!A2:D13,4,FALSE)</calculatedColumnFormula>
    </tableColumn>
    <tableColumn id="5" xr3:uid="{8E359E5D-D8E4-4EE2-BF1B-299855A17BC4}" name="Column4" dataDxfId="24">
      <calculatedColumnFormula>VLOOKUP(A2,'Logical formula'!A2:$L$14,MATCH('Lookup , VLookup , Index'!$E$2,'Logical formula'!$A$2:$L$2,0))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0E1F23-428B-493B-807A-3FB25ED68DA5}" name="Sales_Data" displayName="Sales_Data" ref="A1:J65" totalsRowShown="0" headerRowDxfId="0" dataDxfId="1" headerRowBorderDxfId="12" tableBorderDxfId="13">
  <autoFilter ref="A1:J65" xr:uid="{630E1F23-428B-493B-807A-3FB25ED68DA5}"/>
  <tableColumns count="10">
    <tableColumn id="1" xr3:uid="{FC3B97B9-8536-4228-B3CA-2910778FF6E1}" name="OrderID" dataDxfId="11"/>
    <tableColumn id="2" xr3:uid="{44B40C44-0E5A-45B1-B3B5-CCDF138020D9}" name="Date" dataDxfId="10"/>
    <tableColumn id="3" xr3:uid="{B473BABD-3502-45EF-B869-AF35EC0FC675}" name="Customer" dataDxfId="9"/>
    <tableColumn id="4" xr3:uid="{5970B5A2-524A-44E5-8381-81610F3B768F}" name="City" dataDxfId="8"/>
    <tableColumn id="5" xr3:uid="{2CC03363-12E1-46D2-A730-D6696010ED7F}" name="Product" dataDxfId="7"/>
    <tableColumn id="6" xr3:uid="{CE7C9FF3-4E53-4238-A955-EE9A21D911E0}" name="Category" dataDxfId="6"/>
    <tableColumn id="7" xr3:uid="{B59216F4-6F70-4972-A1B6-A3CC8F84E4E2}" name="Quantity" dataDxfId="5"/>
    <tableColumn id="8" xr3:uid="{E8DD3844-F63D-44A7-9F24-CF08382E9468}" name="UnitPrice" dataDxfId="4"/>
    <tableColumn id="9" xr3:uid="{9655EBD0-2819-43B0-B61B-27BA34B8C2E3}" name="PaymentMode" dataDxfId="3"/>
    <tableColumn id="10" xr3:uid="{9B6DDABE-801A-44B5-A757-E46EBDA6F606}" name="Salesperson" dataDxfId="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8819E0-EDB7-4AA8-9C70-63E7F4F259FF}" name="Pw" displayName="Pw" ref="A1:J20" tableType="queryTable" totalsRowShown="0">
  <autoFilter ref="A1:J20" xr:uid="{F88819E0-EDB7-4AA8-9C70-63E7F4F259FF}"/>
  <tableColumns count="10">
    <tableColumn id="1" xr3:uid="{E1B89B9E-9788-4FD1-8EB0-14845947BEB4}" uniqueName="1" name="OrderID" queryTableFieldId="1"/>
    <tableColumn id="2" xr3:uid="{B227939B-CCA7-4410-8EEC-A23BAA436BD5}" uniqueName="2" name="Date" queryTableFieldId="2" dataDxfId="23"/>
    <tableColumn id="3" xr3:uid="{C7CE0BD2-1836-4035-89D8-D13E037B17ED}" uniqueName="3" name="Merged.1" queryTableFieldId="3" dataDxfId="22"/>
    <tableColumn id="4" xr3:uid="{7893C780-3185-4FA6-8F47-0B8C3EF02446}" uniqueName="4" name="Merged.2" queryTableFieldId="4" dataDxfId="21"/>
    <tableColumn id="5" xr3:uid="{F4DFCC9D-5B41-4A3C-9DC7-80314F2FF6E9}" uniqueName="5" name="Product" queryTableFieldId="5" dataDxfId="20"/>
    <tableColumn id="6" xr3:uid="{BD5D5392-745F-4328-AA63-822D9EFD5BA9}" uniqueName="6" name="Category" queryTableFieldId="6" dataDxfId="19"/>
    <tableColumn id="7" xr3:uid="{936B36F6-DEEA-4052-BDDC-EDD2BDCF8752}" uniqueName="7" name="Quantity" queryTableFieldId="7"/>
    <tableColumn id="8" xr3:uid="{44478C9E-CF04-4CCB-A043-BB5C9D15B261}" uniqueName="8" name="UnitPrice" queryTableFieldId="8"/>
    <tableColumn id="9" xr3:uid="{EF1ECADC-1104-402C-B9E9-D69B6A63CCB7}" uniqueName="9" name="PaymentMode" queryTableFieldId="9" dataDxfId="18"/>
    <tableColumn id="10" xr3:uid="{64D538CD-593A-44B7-A60E-327F3BCFC418}" uniqueName="10" name="Salesperson" queryTableFieldId="10" dataDxfId="17"/>
  </tableColumns>
  <tableStyleInfo name="TableStyleMedium13"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EA663AD-AC94-4255-83E3-9D0328D72FE4}">
  <we:reference id="wa200010725" version="1.0.0.1" store="en-US" storeType="OMEX"/>
  <we:alternateReferences>
    <we:reference id="WA200010725" version="1.0.0.1" store="WA200010725" storeType="OMEX"/>
  </we:alternateReferences>
  <we:properties>
    <we:property name="claude.fileId" value="&quot;4f88b349-00a9-4ae0-a801-7af0bfe33dc3&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986-8D25-4FAA-9C00-59D3247D0D70}">
  <dimension ref="A1:J52"/>
  <sheetViews>
    <sheetView workbookViewId="0">
      <selection activeCell="B10" sqref="A1:J51"/>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style="15" bestFit="1" customWidth="1"/>
    <col min="9" max="9" width="13.6640625" bestFit="1" customWidth="1"/>
    <col min="10" max="10" width="11" bestFit="1" customWidth="1"/>
  </cols>
  <sheetData>
    <row r="1" spans="1:10" ht="15.6" thickTop="1" thickBot="1" x14ac:dyDescent="0.35">
      <c r="A1" s="4" t="s">
        <v>0</v>
      </c>
      <c r="B1" s="1" t="s">
        <v>1</v>
      </c>
      <c r="C1" s="1" t="s">
        <v>2</v>
      </c>
      <c r="D1" s="1" t="s">
        <v>3</v>
      </c>
      <c r="E1" s="1" t="s">
        <v>4</v>
      </c>
      <c r="F1" s="1" t="s">
        <v>5</v>
      </c>
      <c r="G1" s="1" t="s">
        <v>6</v>
      </c>
      <c r="H1" s="12" t="s">
        <v>7</v>
      </c>
      <c r="I1" s="1" t="s">
        <v>8</v>
      </c>
      <c r="J1" s="2" t="s">
        <v>9</v>
      </c>
    </row>
    <row r="2" spans="1:10" ht="15" thickBot="1" x14ac:dyDescent="0.35">
      <c r="A2" s="5">
        <v>1001</v>
      </c>
      <c r="B2" s="6">
        <v>46235</v>
      </c>
      <c r="C2" s="3" t="s">
        <v>10</v>
      </c>
      <c r="D2" s="3" t="s">
        <v>11</v>
      </c>
      <c r="E2" s="3" t="s">
        <v>12</v>
      </c>
      <c r="F2" s="3" t="s">
        <v>13</v>
      </c>
      <c r="G2" s="3">
        <v>2</v>
      </c>
      <c r="H2" s="13">
        <v>55000</v>
      </c>
      <c r="I2" s="3"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87</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8">
        <v>1050</v>
      </c>
      <c r="B51" s="9">
        <v>46259</v>
      </c>
      <c r="C51" s="10" t="s">
        <v>77</v>
      </c>
      <c r="D51" s="10" t="s">
        <v>30</v>
      </c>
      <c r="E51" s="10" t="s">
        <v>31</v>
      </c>
      <c r="F51" s="10" t="s">
        <v>24</v>
      </c>
      <c r="G51" s="10">
        <v>4</v>
      </c>
      <c r="H51" s="14">
        <v>2700</v>
      </c>
      <c r="I51" s="10" t="s">
        <v>25</v>
      </c>
      <c r="J51" s="11" t="s">
        <v>20</v>
      </c>
    </row>
    <row r="52" spans="1:10" ht="15" thickTop="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DD74-DC08-493C-B228-4AF3EA9386B4}">
  <dimension ref="A1:N52"/>
  <sheetViews>
    <sheetView workbookViewId="0">
      <selection activeCell="M12" sqref="M1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1" max="11" width="14.5546875" customWidth="1"/>
    <col min="13" max="13" width="11.88671875" bestFit="1" customWidth="1"/>
    <col min="14" max="14" width="18.88671875" customWidth="1"/>
  </cols>
  <sheetData>
    <row r="1" spans="1:14" ht="15.6" thickTop="1" thickBot="1" x14ac:dyDescent="0.35">
      <c r="A1" s="4" t="s">
        <v>0</v>
      </c>
      <c r="B1" s="1" t="s">
        <v>1</v>
      </c>
      <c r="C1" s="1" t="s">
        <v>2</v>
      </c>
      <c r="D1" s="1" t="s">
        <v>3</v>
      </c>
      <c r="E1" s="1" t="s">
        <v>4</v>
      </c>
      <c r="F1" s="1" t="s">
        <v>5</v>
      </c>
      <c r="G1" s="1" t="s">
        <v>6</v>
      </c>
      <c r="H1" s="12" t="s">
        <v>7</v>
      </c>
      <c r="I1" s="1" t="s">
        <v>8</v>
      </c>
      <c r="J1" s="1" t="s">
        <v>9</v>
      </c>
      <c r="K1" s="2" t="s">
        <v>82</v>
      </c>
    </row>
    <row r="2" spans="1:14" ht="15" thickBot="1" x14ac:dyDescent="0.35">
      <c r="A2" s="5">
        <v>1001</v>
      </c>
      <c r="B2" s="6">
        <v>46235</v>
      </c>
      <c r="C2" s="3" t="s">
        <v>10</v>
      </c>
      <c r="D2" s="3" t="s">
        <v>11</v>
      </c>
      <c r="E2" s="3" t="s">
        <v>12</v>
      </c>
      <c r="F2" s="3" t="s">
        <v>13</v>
      </c>
      <c r="G2" s="3">
        <v>2</v>
      </c>
      <c r="H2" s="13">
        <v>55000</v>
      </c>
      <c r="I2" s="3" t="s">
        <v>14</v>
      </c>
      <c r="J2" s="3" t="s">
        <v>15</v>
      </c>
      <c r="K2" s="16">
        <f>G2*H2</f>
        <v>110000</v>
      </c>
    </row>
    <row r="3" spans="1:14" ht="15" thickBot="1" x14ac:dyDescent="0.35">
      <c r="A3" s="5">
        <v>1002</v>
      </c>
      <c r="B3" s="6">
        <v>46235</v>
      </c>
      <c r="C3" s="3" t="s">
        <v>16</v>
      </c>
      <c r="D3" s="3" t="s">
        <v>17</v>
      </c>
      <c r="E3" s="3" t="s">
        <v>18</v>
      </c>
      <c r="F3" s="3" t="s">
        <v>13</v>
      </c>
      <c r="G3" s="3">
        <v>3</v>
      </c>
      <c r="H3" s="13">
        <v>22000</v>
      </c>
      <c r="I3" s="3" t="s">
        <v>19</v>
      </c>
      <c r="J3" s="3" t="s">
        <v>20</v>
      </c>
      <c r="K3" s="16">
        <f t="shared" ref="K3:K51" si="0">G3*H3</f>
        <v>66000</v>
      </c>
    </row>
    <row r="4" spans="1:14" ht="15.6" thickTop="1" thickBot="1" x14ac:dyDescent="0.35">
      <c r="A4" s="5">
        <v>1003</v>
      </c>
      <c r="B4" s="6">
        <v>46236</v>
      </c>
      <c r="C4" s="3" t="s">
        <v>21</v>
      </c>
      <c r="D4" s="3" t="s">
        <v>22</v>
      </c>
      <c r="E4" s="3" t="s">
        <v>23</v>
      </c>
      <c r="F4" s="3" t="s">
        <v>24</v>
      </c>
      <c r="G4" s="3">
        <v>5</v>
      </c>
      <c r="H4" s="13">
        <v>1200</v>
      </c>
      <c r="I4" s="3" t="s">
        <v>25</v>
      </c>
      <c r="J4" s="3" t="s">
        <v>26</v>
      </c>
      <c r="K4" s="16">
        <f t="shared" si="0"/>
        <v>6000</v>
      </c>
      <c r="M4" s="18" t="s">
        <v>79</v>
      </c>
      <c r="N4" s="20">
        <f>MAX(K2:K51)</f>
        <v>120000</v>
      </c>
    </row>
    <row r="5" spans="1:14" ht="15" thickBot="1" x14ac:dyDescent="0.35">
      <c r="A5" s="5">
        <v>1004</v>
      </c>
      <c r="B5" s="6">
        <v>46236</v>
      </c>
      <c r="C5" s="3" t="s">
        <v>27</v>
      </c>
      <c r="D5" s="3" t="s">
        <v>11</v>
      </c>
      <c r="E5" s="3" t="s">
        <v>28</v>
      </c>
      <c r="F5" s="3" t="s">
        <v>24</v>
      </c>
      <c r="G5" s="3">
        <v>4</v>
      </c>
      <c r="H5" s="13">
        <v>800</v>
      </c>
      <c r="I5" s="3" t="s">
        <v>14</v>
      </c>
      <c r="J5" s="3" t="s">
        <v>15</v>
      </c>
      <c r="K5" s="16">
        <f t="shared" si="0"/>
        <v>3200</v>
      </c>
      <c r="M5" s="19" t="s">
        <v>80</v>
      </c>
      <c r="N5" s="21">
        <f>MIN(K2:K51)</f>
        <v>2850</v>
      </c>
    </row>
    <row r="6" spans="1:14" ht="15" thickBot="1" x14ac:dyDescent="0.35">
      <c r="A6" s="5">
        <v>1005</v>
      </c>
      <c r="B6" s="6">
        <v>46237</v>
      </c>
      <c r="C6" s="3" t="s">
        <v>29</v>
      </c>
      <c r="D6" s="3" t="s">
        <v>30</v>
      </c>
      <c r="E6" s="3" t="s">
        <v>31</v>
      </c>
      <c r="F6" s="3" t="s">
        <v>24</v>
      </c>
      <c r="G6" s="3">
        <v>2</v>
      </c>
      <c r="H6" s="13">
        <v>2500</v>
      </c>
      <c r="I6" s="3" t="s">
        <v>19</v>
      </c>
      <c r="J6" s="3" t="s">
        <v>16</v>
      </c>
      <c r="K6" s="16">
        <f t="shared" si="0"/>
        <v>5000</v>
      </c>
      <c r="M6" s="22" t="s">
        <v>81</v>
      </c>
      <c r="N6" s="21">
        <f>AVERAGE(K2:K51)</f>
        <v>31568</v>
      </c>
    </row>
    <row r="7" spans="1:14" ht="15" thickBot="1" x14ac:dyDescent="0.35">
      <c r="A7" s="5">
        <v>1006</v>
      </c>
      <c r="B7" s="6">
        <v>46237</v>
      </c>
      <c r="C7" s="3" t="s">
        <v>32</v>
      </c>
      <c r="D7" s="3" t="s">
        <v>22</v>
      </c>
      <c r="E7" s="3" t="s">
        <v>33</v>
      </c>
      <c r="F7" s="3" t="s">
        <v>13</v>
      </c>
      <c r="G7" s="3">
        <v>2</v>
      </c>
      <c r="H7" s="13">
        <v>15000</v>
      </c>
      <c r="I7" s="3" t="s">
        <v>14</v>
      </c>
      <c r="J7" s="3" t="s">
        <v>20</v>
      </c>
      <c r="K7" s="16">
        <f t="shared" si="0"/>
        <v>30000</v>
      </c>
      <c r="M7" s="23" t="s">
        <v>83</v>
      </c>
      <c r="N7" s="24">
        <f>SUM(K2:K54)</f>
        <v>1578400</v>
      </c>
    </row>
    <row r="8" spans="1:14" ht="15" thickBot="1" x14ac:dyDescent="0.35">
      <c r="A8" s="5">
        <v>1007</v>
      </c>
      <c r="B8" s="6">
        <v>46238</v>
      </c>
      <c r="C8" s="3" t="s">
        <v>34</v>
      </c>
      <c r="D8" s="3" t="s">
        <v>17</v>
      </c>
      <c r="E8" s="3" t="s">
        <v>12</v>
      </c>
      <c r="F8" s="3" t="s">
        <v>13</v>
      </c>
      <c r="G8" s="3">
        <v>1</v>
      </c>
      <c r="H8" s="13">
        <v>62000</v>
      </c>
      <c r="I8" s="3" t="s">
        <v>19</v>
      </c>
      <c r="J8" s="3" t="s">
        <v>26</v>
      </c>
      <c r="K8" s="16">
        <f t="shared" si="0"/>
        <v>62000</v>
      </c>
    </row>
    <row r="9" spans="1:14" ht="15" thickBot="1" x14ac:dyDescent="0.35">
      <c r="A9" s="5">
        <v>1008</v>
      </c>
      <c r="B9" s="6">
        <v>46238</v>
      </c>
      <c r="C9" s="3" t="s">
        <v>35</v>
      </c>
      <c r="D9" s="3" t="s">
        <v>11</v>
      </c>
      <c r="E9" s="3" t="s">
        <v>36</v>
      </c>
      <c r="F9" s="3" t="s">
        <v>13</v>
      </c>
      <c r="G9" s="3">
        <v>2</v>
      </c>
      <c r="H9" s="13">
        <v>9500</v>
      </c>
      <c r="I9" s="3" t="s">
        <v>25</v>
      </c>
      <c r="J9" s="3" t="s">
        <v>15</v>
      </c>
      <c r="K9" s="16">
        <f t="shared" si="0"/>
        <v>19000</v>
      </c>
    </row>
    <row r="10" spans="1:14" ht="15" thickBot="1" x14ac:dyDescent="0.35">
      <c r="A10" s="5">
        <v>1009</v>
      </c>
      <c r="B10" s="6">
        <v>46239</v>
      </c>
      <c r="C10" s="3" t="s">
        <v>37</v>
      </c>
      <c r="D10" s="3" t="s">
        <v>38</v>
      </c>
      <c r="E10" s="3" t="s">
        <v>78</v>
      </c>
      <c r="F10" s="3" t="s">
        <v>13</v>
      </c>
      <c r="G10" s="3">
        <v>2</v>
      </c>
      <c r="H10" s="13">
        <v>18000</v>
      </c>
      <c r="I10" s="3" t="s">
        <v>14</v>
      </c>
      <c r="J10" s="3" t="s">
        <v>16</v>
      </c>
      <c r="K10" s="16">
        <f t="shared" si="0"/>
        <v>36000</v>
      </c>
    </row>
    <row r="11" spans="1:14" ht="15" thickBot="1" x14ac:dyDescent="0.35">
      <c r="A11" s="5">
        <v>1010</v>
      </c>
      <c r="B11" s="6">
        <v>46239</v>
      </c>
      <c r="C11" s="3" t="s">
        <v>39</v>
      </c>
      <c r="D11" s="3" t="s">
        <v>30</v>
      </c>
      <c r="E11" s="3" t="s">
        <v>23</v>
      </c>
      <c r="F11" s="3" t="s">
        <v>24</v>
      </c>
      <c r="G11" s="3">
        <v>3</v>
      </c>
      <c r="H11" s="13">
        <v>1500</v>
      </c>
      <c r="I11" s="3" t="s">
        <v>19</v>
      </c>
      <c r="J11" s="3" t="s">
        <v>20</v>
      </c>
      <c r="K11" s="16">
        <f t="shared" si="0"/>
        <v>4500</v>
      </c>
    </row>
    <row r="12" spans="1:14" ht="15" thickBot="1" x14ac:dyDescent="0.35">
      <c r="A12" s="5">
        <v>1011</v>
      </c>
      <c r="B12" s="6">
        <v>46240</v>
      </c>
      <c r="C12" s="3" t="s">
        <v>40</v>
      </c>
      <c r="D12" s="3" t="s">
        <v>11</v>
      </c>
      <c r="E12" s="3" t="s">
        <v>28</v>
      </c>
      <c r="F12" s="3" t="s">
        <v>24</v>
      </c>
      <c r="G12" s="3">
        <v>6</v>
      </c>
      <c r="H12" s="13">
        <v>700</v>
      </c>
      <c r="I12" s="3" t="s">
        <v>14</v>
      </c>
      <c r="J12" s="3" t="s">
        <v>26</v>
      </c>
      <c r="K12" s="16">
        <f t="shared" si="0"/>
        <v>4200</v>
      </c>
    </row>
    <row r="13" spans="1:14" ht="15" thickBot="1" x14ac:dyDescent="0.35">
      <c r="A13" s="5">
        <v>1012</v>
      </c>
      <c r="B13" s="6">
        <v>46240</v>
      </c>
      <c r="C13" s="3" t="s">
        <v>41</v>
      </c>
      <c r="D13" s="3" t="s">
        <v>22</v>
      </c>
      <c r="E13" s="3" t="s">
        <v>12</v>
      </c>
      <c r="F13" s="3" t="s">
        <v>13</v>
      </c>
      <c r="G13" s="3">
        <v>1</v>
      </c>
      <c r="H13" s="13">
        <v>58000</v>
      </c>
      <c r="I13" s="3" t="s">
        <v>19</v>
      </c>
      <c r="J13" s="3" t="s">
        <v>15</v>
      </c>
      <c r="K13" s="16">
        <f t="shared" si="0"/>
        <v>58000</v>
      </c>
    </row>
    <row r="14" spans="1:14" ht="15" thickBot="1" x14ac:dyDescent="0.35">
      <c r="A14" s="5">
        <v>1013</v>
      </c>
      <c r="B14" s="6">
        <v>46241</v>
      </c>
      <c r="C14" s="3" t="s">
        <v>42</v>
      </c>
      <c r="D14" s="3" t="s">
        <v>17</v>
      </c>
      <c r="E14" s="3" t="s">
        <v>33</v>
      </c>
      <c r="F14" s="3" t="s">
        <v>13</v>
      </c>
      <c r="G14" s="3">
        <v>3</v>
      </c>
      <c r="H14" s="13">
        <v>13500</v>
      </c>
      <c r="I14" s="3" t="s">
        <v>14</v>
      </c>
      <c r="J14" s="3" t="s">
        <v>16</v>
      </c>
      <c r="K14" s="16">
        <f t="shared" si="0"/>
        <v>40500</v>
      </c>
    </row>
    <row r="15" spans="1:14" ht="15" thickBot="1" x14ac:dyDescent="0.35">
      <c r="A15" s="5">
        <v>1014</v>
      </c>
      <c r="B15" s="6">
        <v>46241</v>
      </c>
      <c r="C15" s="3" t="s">
        <v>43</v>
      </c>
      <c r="D15" s="3" t="s">
        <v>38</v>
      </c>
      <c r="E15" s="3" t="s">
        <v>31</v>
      </c>
      <c r="F15" s="3" t="s">
        <v>24</v>
      </c>
      <c r="G15" s="3">
        <v>4</v>
      </c>
      <c r="H15" s="13">
        <v>2200</v>
      </c>
      <c r="I15" s="3" t="s">
        <v>25</v>
      </c>
      <c r="J15" s="3" t="s">
        <v>20</v>
      </c>
      <c r="K15" s="16">
        <f t="shared" si="0"/>
        <v>8800</v>
      </c>
    </row>
    <row r="16" spans="1:14" ht="15" thickBot="1" x14ac:dyDescent="0.35">
      <c r="A16" s="5">
        <v>1015</v>
      </c>
      <c r="B16" s="6">
        <v>46242</v>
      </c>
      <c r="C16" s="3" t="s">
        <v>44</v>
      </c>
      <c r="D16" s="3" t="s">
        <v>30</v>
      </c>
      <c r="E16" s="3" t="s">
        <v>36</v>
      </c>
      <c r="F16" s="3" t="s">
        <v>13</v>
      </c>
      <c r="G16" s="3">
        <v>1</v>
      </c>
      <c r="H16" s="13">
        <v>11000</v>
      </c>
      <c r="I16" s="3" t="s">
        <v>19</v>
      </c>
      <c r="J16" s="3" t="s">
        <v>26</v>
      </c>
      <c r="K16" s="16">
        <f t="shared" si="0"/>
        <v>11000</v>
      </c>
    </row>
    <row r="17" spans="1:11" ht="15" thickBot="1" x14ac:dyDescent="0.35">
      <c r="A17" s="5">
        <v>1016</v>
      </c>
      <c r="B17" s="6">
        <v>46242</v>
      </c>
      <c r="C17" s="3" t="s">
        <v>45</v>
      </c>
      <c r="D17" s="3" t="s">
        <v>11</v>
      </c>
      <c r="E17" s="3" t="s">
        <v>18</v>
      </c>
      <c r="F17" s="3" t="s">
        <v>13</v>
      </c>
      <c r="G17" s="3">
        <v>3</v>
      </c>
      <c r="H17" s="13">
        <v>25000</v>
      </c>
      <c r="I17" s="3" t="s">
        <v>14</v>
      </c>
      <c r="J17" s="3" t="s">
        <v>15</v>
      </c>
      <c r="K17" s="16">
        <f t="shared" si="0"/>
        <v>75000</v>
      </c>
    </row>
    <row r="18" spans="1:11" ht="15" thickBot="1" x14ac:dyDescent="0.35">
      <c r="A18" s="5">
        <v>1017</v>
      </c>
      <c r="B18" s="6">
        <v>46243</v>
      </c>
      <c r="C18" s="3" t="s">
        <v>46</v>
      </c>
      <c r="D18" s="3" t="s">
        <v>22</v>
      </c>
      <c r="E18" s="3" t="s">
        <v>23</v>
      </c>
      <c r="F18" s="3" t="s">
        <v>24</v>
      </c>
      <c r="G18" s="3">
        <v>5</v>
      </c>
      <c r="H18" s="13">
        <v>1300</v>
      </c>
      <c r="I18" s="3" t="s">
        <v>25</v>
      </c>
      <c r="J18" s="3" t="s">
        <v>16</v>
      </c>
      <c r="K18" s="16">
        <f t="shared" si="0"/>
        <v>6500</v>
      </c>
    </row>
    <row r="19" spans="1:11" ht="15" thickBot="1" x14ac:dyDescent="0.35">
      <c r="A19" s="5">
        <v>1018</v>
      </c>
      <c r="B19" s="6">
        <v>46243</v>
      </c>
      <c r="C19" s="3" t="s">
        <v>47</v>
      </c>
      <c r="D19" s="3" t="s">
        <v>17</v>
      </c>
      <c r="E19" s="3" t="s">
        <v>28</v>
      </c>
      <c r="F19" s="3" t="s">
        <v>24</v>
      </c>
      <c r="G19" s="3">
        <v>8</v>
      </c>
      <c r="H19" s="13">
        <v>650</v>
      </c>
      <c r="I19" s="3" t="s">
        <v>19</v>
      </c>
      <c r="J19" s="3" t="s">
        <v>20</v>
      </c>
      <c r="K19" s="16">
        <f t="shared" si="0"/>
        <v>5200</v>
      </c>
    </row>
    <row r="20" spans="1:11" ht="15" thickBot="1" x14ac:dyDescent="0.35">
      <c r="A20" s="5">
        <v>1019</v>
      </c>
      <c r="B20" s="6">
        <v>46244</v>
      </c>
      <c r="C20" s="3" t="s">
        <v>20</v>
      </c>
      <c r="D20" s="3" t="s">
        <v>38</v>
      </c>
      <c r="E20" s="3" t="s">
        <v>12</v>
      </c>
      <c r="F20" s="3" t="s">
        <v>13</v>
      </c>
      <c r="G20" s="3">
        <v>2</v>
      </c>
      <c r="H20" s="13">
        <v>60000</v>
      </c>
      <c r="I20" s="3" t="s">
        <v>14</v>
      </c>
      <c r="J20" s="3" t="s">
        <v>26</v>
      </c>
      <c r="K20" s="16">
        <f t="shared" si="0"/>
        <v>120000</v>
      </c>
    </row>
    <row r="21" spans="1:11" ht="15" thickBot="1" x14ac:dyDescent="0.35">
      <c r="A21" s="5">
        <v>1020</v>
      </c>
      <c r="B21" s="6">
        <v>46244</v>
      </c>
      <c r="C21" s="3" t="s">
        <v>48</v>
      </c>
      <c r="D21" s="3" t="s">
        <v>30</v>
      </c>
      <c r="E21" s="3" t="s">
        <v>33</v>
      </c>
      <c r="F21" s="3" t="s">
        <v>13</v>
      </c>
      <c r="G21" s="3">
        <v>1</v>
      </c>
      <c r="H21" s="13">
        <v>16000</v>
      </c>
      <c r="I21" s="3" t="s">
        <v>19</v>
      </c>
      <c r="J21" s="3" t="s">
        <v>15</v>
      </c>
      <c r="K21" s="16">
        <f t="shared" si="0"/>
        <v>16000</v>
      </c>
    </row>
    <row r="22" spans="1:11" ht="15" thickBot="1" x14ac:dyDescent="0.35">
      <c r="A22" s="5">
        <v>1021</v>
      </c>
      <c r="B22" s="6">
        <v>46245</v>
      </c>
      <c r="C22" s="3" t="s">
        <v>49</v>
      </c>
      <c r="D22" s="3" t="s">
        <v>11</v>
      </c>
      <c r="E22" s="3" t="s">
        <v>36</v>
      </c>
      <c r="F22" s="3" t="s">
        <v>13</v>
      </c>
      <c r="G22" s="3">
        <v>2</v>
      </c>
      <c r="H22" s="13">
        <v>9000</v>
      </c>
      <c r="I22" s="3" t="s">
        <v>14</v>
      </c>
      <c r="J22" s="3" t="s">
        <v>16</v>
      </c>
      <c r="K22" s="16">
        <f t="shared" si="0"/>
        <v>18000</v>
      </c>
    </row>
    <row r="23" spans="1:11" ht="15" thickBot="1" x14ac:dyDescent="0.35">
      <c r="A23" s="5">
        <v>1022</v>
      </c>
      <c r="B23" s="6">
        <v>46245</v>
      </c>
      <c r="C23" s="3" t="s">
        <v>50</v>
      </c>
      <c r="D23" s="3" t="s">
        <v>22</v>
      </c>
      <c r="E23" s="3" t="s">
        <v>31</v>
      </c>
      <c r="F23" s="3" t="s">
        <v>24</v>
      </c>
      <c r="G23" s="3">
        <v>3</v>
      </c>
      <c r="H23" s="13">
        <v>2800</v>
      </c>
      <c r="I23" s="3" t="s">
        <v>25</v>
      </c>
      <c r="J23" s="3" t="s">
        <v>20</v>
      </c>
      <c r="K23" s="16">
        <f t="shared" si="0"/>
        <v>8400</v>
      </c>
    </row>
    <row r="24" spans="1:11" ht="15" thickBot="1" x14ac:dyDescent="0.35">
      <c r="A24" s="5">
        <v>1023</v>
      </c>
      <c r="B24" s="6">
        <v>46246</v>
      </c>
      <c r="C24" s="3" t="s">
        <v>51</v>
      </c>
      <c r="D24" s="3" t="s">
        <v>17</v>
      </c>
      <c r="E24" s="3" t="s">
        <v>18</v>
      </c>
      <c r="F24" s="3" t="s">
        <v>13</v>
      </c>
      <c r="G24" s="3">
        <v>2</v>
      </c>
      <c r="H24" s="13">
        <v>21000</v>
      </c>
      <c r="I24" s="3" t="s">
        <v>19</v>
      </c>
      <c r="J24" s="3" t="s">
        <v>26</v>
      </c>
      <c r="K24" s="16">
        <f t="shared" si="0"/>
        <v>42000</v>
      </c>
    </row>
    <row r="25" spans="1:11" ht="15" thickBot="1" x14ac:dyDescent="0.35">
      <c r="A25" s="5">
        <v>1024</v>
      </c>
      <c r="B25" s="6">
        <v>46246</v>
      </c>
      <c r="C25" s="3" t="s">
        <v>52</v>
      </c>
      <c r="D25" s="3" t="s">
        <v>38</v>
      </c>
      <c r="E25" s="3" t="s">
        <v>23</v>
      </c>
      <c r="F25" s="3" t="s">
        <v>24</v>
      </c>
      <c r="G25" s="3">
        <v>4</v>
      </c>
      <c r="H25" s="13">
        <v>1400</v>
      </c>
      <c r="I25" s="3" t="s">
        <v>14</v>
      </c>
      <c r="J25" s="3" t="s">
        <v>15</v>
      </c>
      <c r="K25" s="16">
        <f t="shared" si="0"/>
        <v>5600</v>
      </c>
    </row>
    <row r="26" spans="1:11" ht="15" thickBot="1" x14ac:dyDescent="0.35">
      <c r="A26" s="5">
        <v>1025</v>
      </c>
      <c r="B26" s="6">
        <v>46247</v>
      </c>
      <c r="C26" s="3" t="s">
        <v>53</v>
      </c>
      <c r="D26" s="3" t="s">
        <v>30</v>
      </c>
      <c r="E26" s="3" t="s">
        <v>28</v>
      </c>
      <c r="F26" s="3" t="s">
        <v>24</v>
      </c>
      <c r="G26" s="3">
        <v>5</v>
      </c>
      <c r="H26" s="13">
        <v>750</v>
      </c>
      <c r="I26" s="3" t="s">
        <v>25</v>
      </c>
      <c r="J26" s="3" t="s">
        <v>16</v>
      </c>
      <c r="K26" s="16">
        <f t="shared" si="0"/>
        <v>3750</v>
      </c>
    </row>
    <row r="27" spans="1:11" ht="15" thickBot="1" x14ac:dyDescent="0.35">
      <c r="A27" s="5">
        <v>1026</v>
      </c>
      <c r="B27" s="6">
        <v>46247</v>
      </c>
      <c r="C27" s="3" t="s">
        <v>54</v>
      </c>
      <c r="D27" s="3" t="s">
        <v>11</v>
      </c>
      <c r="E27" s="3" t="s">
        <v>12</v>
      </c>
      <c r="F27" s="3" t="s">
        <v>13</v>
      </c>
      <c r="G27" s="3">
        <v>1</v>
      </c>
      <c r="H27" s="13">
        <v>65000</v>
      </c>
      <c r="I27" s="3" t="s">
        <v>19</v>
      </c>
      <c r="J27" s="3" t="s">
        <v>20</v>
      </c>
      <c r="K27" s="16">
        <f t="shared" si="0"/>
        <v>65000</v>
      </c>
    </row>
    <row r="28" spans="1:11" ht="15" thickBot="1" x14ac:dyDescent="0.35">
      <c r="A28" s="5">
        <v>1027</v>
      </c>
      <c r="B28" s="6">
        <v>46248</v>
      </c>
      <c r="C28" s="3" t="s">
        <v>55</v>
      </c>
      <c r="D28" s="3" t="s">
        <v>22</v>
      </c>
      <c r="E28" s="3" t="s">
        <v>33</v>
      </c>
      <c r="F28" s="3" t="s">
        <v>13</v>
      </c>
      <c r="G28" s="3">
        <v>2</v>
      </c>
      <c r="H28" s="13">
        <v>14500</v>
      </c>
      <c r="I28" s="3" t="s">
        <v>14</v>
      </c>
      <c r="J28" s="3" t="s">
        <v>26</v>
      </c>
      <c r="K28" s="16">
        <f t="shared" si="0"/>
        <v>29000</v>
      </c>
    </row>
    <row r="29" spans="1:11" ht="15" thickBot="1" x14ac:dyDescent="0.35">
      <c r="A29" s="5">
        <v>1028</v>
      </c>
      <c r="B29" s="6">
        <v>46248</v>
      </c>
      <c r="C29" s="3" t="s">
        <v>56</v>
      </c>
      <c r="D29" s="3" t="s">
        <v>17</v>
      </c>
      <c r="E29" s="3" t="s">
        <v>36</v>
      </c>
      <c r="F29" s="3" t="s">
        <v>13</v>
      </c>
      <c r="G29" s="3">
        <v>3</v>
      </c>
      <c r="H29" s="13">
        <v>8500</v>
      </c>
      <c r="I29" s="3" t="s">
        <v>19</v>
      </c>
      <c r="J29" s="3" t="s">
        <v>15</v>
      </c>
      <c r="K29" s="16">
        <f t="shared" si="0"/>
        <v>25500</v>
      </c>
    </row>
    <row r="30" spans="1:11" ht="15" thickBot="1" x14ac:dyDescent="0.35">
      <c r="A30" s="5">
        <v>1029</v>
      </c>
      <c r="B30" s="6">
        <v>46249</v>
      </c>
      <c r="C30" s="3" t="s">
        <v>57</v>
      </c>
      <c r="D30" s="3" t="s">
        <v>38</v>
      </c>
      <c r="E30" s="3" t="s">
        <v>18</v>
      </c>
      <c r="F30" s="3" t="s">
        <v>13</v>
      </c>
      <c r="G30" s="3">
        <v>1</v>
      </c>
      <c r="H30" s="13">
        <v>23000</v>
      </c>
      <c r="I30" s="3" t="s">
        <v>25</v>
      </c>
      <c r="J30" s="3" t="s">
        <v>16</v>
      </c>
      <c r="K30" s="16">
        <f t="shared" si="0"/>
        <v>23000</v>
      </c>
    </row>
    <row r="31" spans="1:11" ht="15" thickBot="1" x14ac:dyDescent="0.35">
      <c r="A31" s="5">
        <v>1030</v>
      </c>
      <c r="B31" s="6">
        <v>46249</v>
      </c>
      <c r="C31" s="3" t="s">
        <v>58</v>
      </c>
      <c r="D31" s="3" t="s">
        <v>30</v>
      </c>
      <c r="E31" s="3" t="s">
        <v>31</v>
      </c>
      <c r="F31" s="3" t="s">
        <v>24</v>
      </c>
      <c r="G31" s="3">
        <v>2</v>
      </c>
      <c r="H31" s="13">
        <v>3000</v>
      </c>
      <c r="I31" s="3" t="s">
        <v>14</v>
      </c>
      <c r="J31" s="3" t="s">
        <v>20</v>
      </c>
      <c r="K31" s="16">
        <f t="shared" si="0"/>
        <v>6000</v>
      </c>
    </row>
    <row r="32" spans="1:11" ht="15" thickBot="1" x14ac:dyDescent="0.35">
      <c r="A32" s="5">
        <v>1031</v>
      </c>
      <c r="B32" s="6">
        <v>46250</v>
      </c>
      <c r="C32" s="3" t="s">
        <v>59</v>
      </c>
      <c r="D32" s="3" t="s">
        <v>11</v>
      </c>
      <c r="E32" s="3" t="s">
        <v>23</v>
      </c>
      <c r="F32" s="3" t="s">
        <v>24</v>
      </c>
      <c r="G32" s="3">
        <v>7</v>
      </c>
      <c r="H32" s="13">
        <v>1100</v>
      </c>
      <c r="I32" s="3" t="s">
        <v>19</v>
      </c>
      <c r="J32" s="3" t="s">
        <v>26</v>
      </c>
      <c r="K32" s="16">
        <f t="shared" si="0"/>
        <v>7700</v>
      </c>
    </row>
    <row r="33" spans="1:11" ht="15" thickBot="1" x14ac:dyDescent="0.35">
      <c r="A33" s="5">
        <v>1032</v>
      </c>
      <c r="B33" s="6">
        <v>46250</v>
      </c>
      <c r="C33" s="3" t="s">
        <v>60</v>
      </c>
      <c r="D33" s="3" t="s">
        <v>22</v>
      </c>
      <c r="E33" s="3" t="s">
        <v>28</v>
      </c>
      <c r="F33" s="3" t="s">
        <v>24</v>
      </c>
      <c r="G33" s="3">
        <v>4</v>
      </c>
      <c r="H33" s="13">
        <v>900</v>
      </c>
      <c r="I33" s="3" t="s">
        <v>14</v>
      </c>
      <c r="J33" s="3" t="s">
        <v>15</v>
      </c>
      <c r="K33" s="16">
        <f t="shared" si="0"/>
        <v>3600</v>
      </c>
    </row>
    <row r="34" spans="1:11" ht="15" thickBot="1" x14ac:dyDescent="0.35">
      <c r="A34" s="5">
        <v>1033</v>
      </c>
      <c r="B34" s="6">
        <v>46251</v>
      </c>
      <c r="C34" s="3" t="s">
        <v>61</v>
      </c>
      <c r="D34" s="3" t="s">
        <v>17</v>
      </c>
      <c r="E34" s="3" t="s">
        <v>12</v>
      </c>
      <c r="F34" s="3" t="s">
        <v>13</v>
      </c>
      <c r="G34" s="3">
        <v>2</v>
      </c>
      <c r="H34" s="13">
        <v>57000</v>
      </c>
      <c r="I34" s="3" t="s">
        <v>19</v>
      </c>
      <c r="J34" s="3" t="s">
        <v>16</v>
      </c>
      <c r="K34" s="16">
        <f t="shared" si="0"/>
        <v>114000</v>
      </c>
    </row>
    <row r="35" spans="1:11" ht="15" thickBot="1" x14ac:dyDescent="0.35">
      <c r="A35" s="5">
        <v>1034</v>
      </c>
      <c r="B35" s="6">
        <v>46251</v>
      </c>
      <c r="C35" s="3" t="s">
        <v>62</v>
      </c>
      <c r="D35" s="3" t="s">
        <v>38</v>
      </c>
      <c r="E35" s="3" t="s">
        <v>33</v>
      </c>
      <c r="F35" s="3" t="s">
        <v>13</v>
      </c>
      <c r="G35" s="3">
        <v>1</v>
      </c>
      <c r="H35" s="13">
        <v>15500</v>
      </c>
      <c r="I35" s="3" t="s">
        <v>25</v>
      </c>
      <c r="J35" s="3" t="s">
        <v>20</v>
      </c>
      <c r="K35" s="16">
        <f t="shared" si="0"/>
        <v>15500</v>
      </c>
    </row>
    <row r="36" spans="1:11" ht="15" thickBot="1" x14ac:dyDescent="0.35">
      <c r="A36" s="5">
        <v>1035</v>
      </c>
      <c r="B36" s="6">
        <v>46252</v>
      </c>
      <c r="C36" s="3" t="s">
        <v>63</v>
      </c>
      <c r="D36" s="3" t="s">
        <v>30</v>
      </c>
      <c r="E36" s="3" t="s">
        <v>36</v>
      </c>
      <c r="F36" s="3" t="s">
        <v>13</v>
      </c>
      <c r="G36" s="3">
        <v>2</v>
      </c>
      <c r="H36" s="13">
        <v>10000</v>
      </c>
      <c r="I36" s="3" t="s">
        <v>14</v>
      </c>
      <c r="J36" s="3" t="s">
        <v>26</v>
      </c>
      <c r="K36" s="16">
        <f t="shared" si="0"/>
        <v>20000</v>
      </c>
    </row>
    <row r="37" spans="1:11" ht="15" thickBot="1" x14ac:dyDescent="0.35">
      <c r="A37" s="5">
        <v>1036</v>
      </c>
      <c r="B37" s="6">
        <v>46252</v>
      </c>
      <c r="C37" s="3" t="s">
        <v>64</v>
      </c>
      <c r="D37" s="3" t="s">
        <v>11</v>
      </c>
      <c r="E37" s="3" t="s">
        <v>18</v>
      </c>
      <c r="F37" s="3" t="s">
        <v>13</v>
      </c>
      <c r="G37" s="3">
        <v>4</v>
      </c>
      <c r="H37" s="13">
        <v>19500</v>
      </c>
      <c r="I37" s="3" t="s">
        <v>19</v>
      </c>
      <c r="J37" s="3" t="s">
        <v>15</v>
      </c>
      <c r="K37" s="16">
        <f t="shared" si="0"/>
        <v>78000</v>
      </c>
    </row>
    <row r="38" spans="1:11" ht="15" thickBot="1" x14ac:dyDescent="0.35">
      <c r="A38" s="5">
        <v>1037</v>
      </c>
      <c r="B38" s="6">
        <v>46253</v>
      </c>
      <c r="C38" s="3" t="s">
        <v>65</v>
      </c>
      <c r="D38" s="3" t="s">
        <v>22</v>
      </c>
      <c r="E38" s="3" t="s">
        <v>23</v>
      </c>
      <c r="F38" s="3" t="s">
        <v>24</v>
      </c>
      <c r="G38" s="3">
        <v>3</v>
      </c>
      <c r="H38" s="13">
        <v>1600</v>
      </c>
      <c r="I38" s="3" t="s">
        <v>14</v>
      </c>
      <c r="J38" s="3" t="s">
        <v>16</v>
      </c>
      <c r="K38" s="16">
        <f t="shared" si="0"/>
        <v>4800</v>
      </c>
    </row>
    <row r="39" spans="1:11" ht="15" thickBot="1" x14ac:dyDescent="0.35">
      <c r="A39" s="5">
        <v>1038</v>
      </c>
      <c r="B39" s="6">
        <v>46253</v>
      </c>
      <c r="C39" s="3" t="s">
        <v>66</v>
      </c>
      <c r="D39" s="3" t="s">
        <v>17</v>
      </c>
      <c r="E39" s="3" t="s">
        <v>28</v>
      </c>
      <c r="F39" s="3" t="s">
        <v>24</v>
      </c>
      <c r="G39" s="3">
        <v>6</v>
      </c>
      <c r="H39" s="13">
        <v>850</v>
      </c>
      <c r="I39" s="3" t="s">
        <v>25</v>
      </c>
      <c r="J39" s="3" t="s">
        <v>20</v>
      </c>
      <c r="K39" s="16">
        <f t="shared" si="0"/>
        <v>5100</v>
      </c>
    </row>
    <row r="40" spans="1:11" ht="15" thickBot="1" x14ac:dyDescent="0.35">
      <c r="A40" s="5">
        <v>1039</v>
      </c>
      <c r="B40" s="6">
        <v>46254</v>
      </c>
      <c r="C40" s="3" t="s">
        <v>67</v>
      </c>
      <c r="D40" s="3" t="s">
        <v>38</v>
      </c>
      <c r="E40" s="3" t="s">
        <v>12</v>
      </c>
      <c r="F40" s="3" t="s">
        <v>13</v>
      </c>
      <c r="G40" s="3">
        <v>1</v>
      </c>
      <c r="H40" s="13">
        <v>61000</v>
      </c>
      <c r="I40" s="3" t="s">
        <v>19</v>
      </c>
      <c r="J40" s="3" t="s">
        <v>26</v>
      </c>
      <c r="K40" s="16">
        <f t="shared" si="0"/>
        <v>61000</v>
      </c>
    </row>
    <row r="41" spans="1:11" ht="15" thickBot="1" x14ac:dyDescent="0.35">
      <c r="A41" s="5">
        <v>1040</v>
      </c>
      <c r="B41" s="6">
        <v>46254</v>
      </c>
      <c r="C41" s="3" t="s">
        <v>68</v>
      </c>
      <c r="D41" s="3" t="s">
        <v>30</v>
      </c>
      <c r="E41" s="3" t="s">
        <v>33</v>
      </c>
      <c r="F41" s="3" t="s">
        <v>13</v>
      </c>
      <c r="G41" s="3">
        <v>2</v>
      </c>
      <c r="H41" s="13">
        <v>12500</v>
      </c>
      <c r="I41" s="3" t="s">
        <v>14</v>
      </c>
      <c r="J41" s="3" t="s">
        <v>15</v>
      </c>
      <c r="K41" s="16">
        <f t="shared" si="0"/>
        <v>25000</v>
      </c>
    </row>
    <row r="42" spans="1:11" ht="15" thickBot="1" x14ac:dyDescent="0.35">
      <c r="A42" s="5">
        <v>1041</v>
      </c>
      <c r="B42" s="6">
        <v>46255</v>
      </c>
      <c r="C42" s="3" t="s">
        <v>26</v>
      </c>
      <c r="D42" s="3" t="s">
        <v>11</v>
      </c>
      <c r="E42" s="3" t="s">
        <v>36</v>
      </c>
      <c r="F42" s="3" t="s">
        <v>13</v>
      </c>
      <c r="G42" s="3">
        <v>1</v>
      </c>
      <c r="H42" s="13">
        <v>9500</v>
      </c>
      <c r="I42" s="3" t="s">
        <v>19</v>
      </c>
      <c r="J42" s="3" t="s">
        <v>16</v>
      </c>
      <c r="K42" s="16">
        <f t="shared" si="0"/>
        <v>9500</v>
      </c>
    </row>
    <row r="43" spans="1:11" ht="15" thickBot="1" x14ac:dyDescent="0.35">
      <c r="A43" s="5">
        <v>1042</v>
      </c>
      <c r="B43" s="6">
        <v>46255</v>
      </c>
      <c r="C43" s="3" t="s">
        <v>69</v>
      </c>
      <c r="D43" s="3" t="s">
        <v>22</v>
      </c>
      <c r="E43" s="3" t="s">
        <v>31</v>
      </c>
      <c r="F43" s="3" t="s">
        <v>24</v>
      </c>
      <c r="G43" s="3">
        <v>5</v>
      </c>
      <c r="H43" s="13">
        <v>2400</v>
      </c>
      <c r="I43" s="3" t="s">
        <v>25</v>
      </c>
      <c r="J43" s="3" t="s">
        <v>20</v>
      </c>
      <c r="K43" s="16">
        <f t="shared" si="0"/>
        <v>12000</v>
      </c>
    </row>
    <row r="44" spans="1:11" ht="15" thickBot="1" x14ac:dyDescent="0.35">
      <c r="A44" s="5">
        <v>1043</v>
      </c>
      <c r="B44" s="6">
        <v>46256</v>
      </c>
      <c r="C44" s="3" t="s">
        <v>70</v>
      </c>
      <c r="D44" s="3" t="s">
        <v>17</v>
      </c>
      <c r="E44" s="3" t="s">
        <v>18</v>
      </c>
      <c r="F44" s="3" t="s">
        <v>13</v>
      </c>
      <c r="G44" s="3">
        <v>2</v>
      </c>
      <c r="H44" s="13">
        <v>26000</v>
      </c>
      <c r="I44" s="3" t="s">
        <v>14</v>
      </c>
      <c r="J44" s="3" t="s">
        <v>26</v>
      </c>
      <c r="K44" s="16">
        <f t="shared" si="0"/>
        <v>52000</v>
      </c>
    </row>
    <row r="45" spans="1:11" ht="15" thickBot="1" x14ac:dyDescent="0.35">
      <c r="A45" s="5">
        <v>1044</v>
      </c>
      <c r="B45" s="6">
        <v>46256</v>
      </c>
      <c r="C45" s="3" t="s">
        <v>71</v>
      </c>
      <c r="D45" s="3" t="s">
        <v>38</v>
      </c>
      <c r="E45" s="3" t="s">
        <v>23</v>
      </c>
      <c r="F45" s="3" t="s">
        <v>24</v>
      </c>
      <c r="G45" s="3">
        <v>4</v>
      </c>
      <c r="H45" s="13">
        <v>1250</v>
      </c>
      <c r="I45" s="3" t="s">
        <v>19</v>
      </c>
      <c r="J45" s="3" t="s">
        <v>15</v>
      </c>
      <c r="K45" s="16">
        <f t="shared" si="0"/>
        <v>5000</v>
      </c>
    </row>
    <row r="46" spans="1:11" ht="15" thickBot="1" x14ac:dyDescent="0.35">
      <c r="A46" s="5">
        <v>1045</v>
      </c>
      <c r="B46" s="6">
        <v>46257</v>
      </c>
      <c r="C46" s="3" t="s">
        <v>72</v>
      </c>
      <c r="D46" s="3" t="s">
        <v>30</v>
      </c>
      <c r="E46" s="3" t="s">
        <v>28</v>
      </c>
      <c r="F46" s="3" t="s">
        <v>24</v>
      </c>
      <c r="G46" s="3">
        <v>3</v>
      </c>
      <c r="H46" s="13">
        <v>950</v>
      </c>
      <c r="I46" s="3" t="s">
        <v>14</v>
      </c>
      <c r="J46" s="3" t="s">
        <v>16</v>
      </c>
      <c r="K46" s="16">
        <f t="shared" si="0"/>
        <v>2850</v>
      </c>
    </row>
    <row r="47" spans="1:11" ht="15" thickBot="1" x14ac:dyDescent="0.35">
      <c r="A47" s="5">
        <v>1046</v>
      </c>
      <c r="B47" s="6">
        <v>46257</v>
      </c>
      <c r="C47" s="3" t="s">
        <v>73</v>
      </c>
      <c r="D47" s="3" t="s">
        <v>11</v>
      </c>
      <c r="E47" s="3" t="s">
        <v>12</v>
      </c>
      <c r="F47" s="3" t="s">
        <v>13</v>
      </c>
      <c r="G47" s="3">
        <v>2</v>
      </c>
      <c r="H47" s="13">
        <v>59000</v>
      </c>
      <c r="I47" s="3" t="s">
        <v>25</v>
      </c>
      <c r="J47" s="3" t="s">
        <v>20</v>
      </c>
      <c r="K47" s="16">
        <f t="shared" si="0"/>
        <v>118000</v>
      </c>
    </row>
    <row r="48" spans="1:11" ht="15" thickBot="1" x14ac:dyDescent="0.35">
      <c r="A48" s="5">
        <v>1047</v>
      </c>
      <c r="B48" s="6">
        <v>46258</v>
      </c>
      <c r="C48" s="3" t="s">
        <v>74</v>
      </c>
      <c r="D48" s="3" t="s">
        <v>22</v>
      </c>
      <c r="E48" s="3" t="s">
        <v>33</v>
      </c>
      <c r="F48" s="3" t="s">
        <v>13</v>
      </c>
      <c r="G48" s="3">
        <v>3</v>
      </c>
      <c r="H48" s="13">
        <v>14000</v>
      </c>
      <c r="I48" s="3" t="s">
        <v>19</v>
      </c>
      <c r="J48" s="3" t="s">
        <v>26</v>
      </c>
      <c r="K48" s="16">
        <f t="shared" si="0"/>
        <v>42000</v>
      </c>
    </row>
    <row r="49" spans="1:11" ht="15" thickBot="1" x14ac:dyDescent="0.35">
      <c r="A49" s="5">
        <v>1048</v>
      </c>
      <c r="B49" s="6">
        <v>46258</v>
      </c>
      <c r="C49" s="3" t="s">
        <v>75</v>
      </c>
      <c r="D49" s="3" t="s">
        <v>17</v>
      </c>
      <c r="E49" s="3" t="s">
        <v>36</v>
      </c>
      <c r="F49" s="3" t="s">
        <v>13</v>
      </c>
      <c r="G49" s="3">
        <v>2</v>
      </c>
      <c r="H49" s="13">
        <v>9200</v>
      </c>
      <c r="I49" s="3" t="s">
        <v>14</v>
      </c>
      <c r="J49" s="3" t="s">
        <v>15</v>
      </c>
      <c r="K49" s="16">
        <f t="shared" si="0"/>
        <v>18400</v>
      </c>
    </row>
    <row r="50" spans="1:11" ht="15" thickBot="1" x14ac:dyDescent="0.35">
      <c r="A50" s="5">
        <v>1049</v>
      </c>
      <c r="B50" s="6">
        <v>46259</v>
      </c>
      <c r="C50" s="3" t="s">
        <v>76</v>
      </c>
      <c r="D50" s="3" t="s">
        <v>38</v>
      </c>
      <c r="E50" s="3" t="s">
        <v>18</v>
      </c>
      <c r="F50" s="3" t="s">
        <v>13</v>
      </c>
      <c r="G50" s="3">
        <v>3</v>
      </c>
      <c r="H50" s="13">
        <v>20000</v>
      </c>
      <c r="I50" s="3" t="s">
        <v>19</v>
      </c>
      <c r="J50" s="3" t="s">
        <v>16</v>
      </c>
      <c r="K50" s="16">
        <f t="shared" si="0"/>
        <v>60000</v>
      </c>
    </row>
    <row r="51" spans="1:11" ht="15" thickBot="1" x14ac:dyDescent="0.35">
      <c r="A51" s="8">
        <v>1050</v>
      </c>
      <c r="B51" s="9">
        <v>46259</v>
      </c>
      <c r="C51" s="10" t="s">
        <v>77</v>
      </c>
      <c r="D51" s="10" t="s">
        <v>30</v>
      </c>
      <c r="E51" s="10" t="s">
        <v>31</v>
      </c>
      <c r="F51" s="10" t="s">
        <v>24</v>
      </c>
      <c r="G51" s="10">
        <v>4</v>
      </c>
      <c r="H51" s="14">
        <v>2700</v>
      </c>
      <c r="I51" s="10" t="s">
        <v>25</v>
      </c>
      <c r="J51" s="10" t="s">
        <v>20</v>
      </c>
      <c r="K51" s="17">
        <f t="shared" si="0"/>
        <v>10800</v>
      </c>
    </row>
    <row r="52" spans="1:11"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B83C4-5121-4973-ADEF-E08141134A81}">
  <dimension ref="A1:J52"/>
  <sheetViews>
    <sheetView workbookViewId="0">
      <selection activeCell="B2" sqref="B2"/>
    </sheetView>
  </sheetViews>
  <sheetFormatPr defaultRowHeight="14.4" x14ac:dyDescent="0.3"/>
  <cols>
    <col min="1" max="1" width="7.5546875" bestFit="1" customWidth="1"/>
    <col min="2" max="2" width="10.33203125" bestFit="1" customWidth="1"/>
    <col min="3" max="3" width="9.109375" bestFit="1" customWidth="1"/>
    <col min="4" max="4" width="12.5546875"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s>
  <sheetData>
    <row r="1" spans="1:10" ht="15.6" thickTop="1" thickBot="1" x14ac:dyDescent="0.35">
      <c r="A1" s="4" t="s">
        <v>0</v>
      </c>
      <c r="B1" s="1" t="s">
        <v>1</v>
      </c>
      <c r="C1" s="1" t="s">
        <v>2</v>
      </c>
      <c r="D1" s="1" t="s">
        <v>3</v>
      </c>
      <c r="E1" s="1" t="s">
        <v>4</v>
      </c>
      <c r="F1" s="1" t="s">
        <v>5</v>
      </c>
      <c r="G1" s="1" t="s">
        <v>6</v>
      </c>
      <c r="H1" s="12" t="s">
        <v>7</v>
      </c>
      <c r="I1" s="1" t="s">
        <v>8</v>
      </c>
      <c r="J1" s="2" t="s">
        <v>9</v>
      </c>
    </row>
    <row r="2" spans="1:10" ht="15" thickBot="1" x14ac:dyDescent="0.35">
      <c r="A2" s="5">
        <v>1001</v>
      </c>
      <c r="B2" s="6">
        <v>46235</v>
      </c>
      <c r="C2" s="3" t="s">
        <v>10</v>
      </c>
      <c r="D2" s="3" t="s">
        <v>11</v>
      </c>
      <c r="E2" s="3" t="s">
        <v>12</v>
      </c>
      <c r="F2" s="3" t="s">
        <v>13</v>
      </c>
      <c r="G2" s="3">
        <v>2</v>
      </c>
      <c r="H2" s="13">
        <v>55000</v>
      </c>
      <c r="I2" s="3"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11</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8">
        <v>1050</v>
      </c>
      <c r="B51" s="9">
        <v>46259</v>
      </c>
      <c r="C51" s="10" t="s">
        <v>77</v>
      </c>
      <c r="D51" s="10" t="s">
        <v>30</v>
      </c>
      <c r="E51" s="10" t="s">
        <v>31</v>
      </c>
      <c r="F51" s="10" t="s">
        <v>24</v>
      </c>
      <c r="G51" s="10">
        <v>4</v>
      </c>
      <c r="H51" s="14">
        <v>2700</v>
      </c>
      <c r="I51" s="10" t="s">
        <v>25</v>
      </c>
      <c r="J51" s="11" t="s">
        <v>20</v>
      </c>
    </row>
    <row r="52" spans="1:10" ht="15" thickTop="1" x14ac:dyDescent="0.3"/>
  </sheetData>
  <conditionalFormatting sqref="D2:D51">
    <cfRule type="containsText" dxfId="16" priority="7" operator="containsText" text="Lucknow">
      <formula>NOT(ISERROR(SEARCH("Lucknow",D2)))</formula>
    </cfRule>
  </conditionalFormatting>
  <conditionalFormatting sqref="F2:F51">
    <cfRule type="containsText" dxfId="15" priority="1" operator="containsText" text="Accessories">
      <formula>NOT(ISERROR(SEARCH("Accessories",F2)))</formula>
    </cfRule>
  </conditionalFormatting>
  <conditionalFormatting sqref="H2:H51">
    <cfRule type="dataBar" priority="4">
      <dataBar>
        <cfvo type="min"/>
        <cfvo type="max"/>
        <color rgb="FF63C384"/>
      </dataBar>
      <extLst>
        <ext xmlns:x14="http://schemas.microsoft.com/office/spreadsheetml/2009/9/main" uri="{B025F937-C7B1-47D3-B67F-A62EFF666E3E}">
          <x14:id>{6E4605CD-F22C-415F-8766-A49C0AA13B9D}</x14:id>
        </ext>
      </extLst>
    </cfRule>
  </conditionalFormatting>
  <conditionalFormatting sqref="I2:I51">
    <cfRule type="containsText" dxfId="14" priority="5" operator="containsText" text="UPI">
      <formula>NOT(ISERROR(SEARCH("UPI",I2)))</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E4605CD-F22C-415F-8766-A49C0AA13B9D}">
            <x14:dataBar minLength="0" maxLength="100" gradient="0">
              <x14:cfvo type="autoMin"/>
              <x14:cfvo type="autoMax"/>
              <x14:negativeFillColor rgb="FFFF0000"/>
              <x14:axisColor rgb="FF000000"/>
            </x14:dataBar>
          </x14:cfRule>
          <xm:sqref>H2:H51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9D496-A7B4-4A3D-B1D7-F6679656A705}">
  <dimension ref="A1:U107"/>
  <sheetViews>
    <sheetView topLeftCell="A6" workbookViewId="0">
      <selection activeCell="E35" sqref="E35"/>
    </sheetView>
  </sheetViews>
  <sheetFormatPr defaultRowHeight="14.4" x14ac:dyDescent="0.3"/>
  <cols>
    <col min="1" max="1" width="7.5546875" bestFit="1" customWidth="1"/>
    <col min="2" max="2" width="10.33203125" bestFit="1" customWidth="1"/>
    <col min="3" max="3" width="16.33203125" customWidth="1"/>
    <col min="4" max="4" width="10.88671875" customWidth="1"/>
    <col min="5" max="5" width="11.109375" bestFit="1" customWidth="1"/>
    <col min="6" max="6" width="15.21875" customWidth="1"/>
    <col min="7" max="7" width="11.44140625" customWidth="1"/>
    <col min="8" max="8" width="10.44140625" bestFit="1" customWidth="1"/>
    <col min="9" max="9" width="13.6640625" bestFit="1" customWidth="1"/>
    <col min="10" max="10" width="14.6640625" customWidth="1"/>
    <col min="11" max="11" width="12.5546875" customWidth="1"/>
    <col min="12" max="12" width="7.5546875" bestFit="1" customWidth="1"/>
    <col min="13" max="13" width="10.33203125" bestFit="1" customWidth="1"/>
    <col min="14" max="14" width="9.109375" bestFit="1" customWidth="1"/>
    <col min="15" max="15" width="8.21875" bestFit="1" customWidth="1"/>
    <col min="16" max="16" width="11.109375" bestFit="1" customWidth="1"/>
    <col min="17" max="17" width="10.44140625" bestFit="1" customWidth="1"/>
    <col min="18" max="18" width="8.33203125" bestFit="1" customWidth="1"/>
    <col min="19" max="19" width="10.44140625" bestFit="1" customWidth="1"/>
    <col min="20" max="20" width="13.6640625" bestFit="1" customWidth="1"/>
    <col min="21" max="21" width="11" bestFit="1" customWidth="1"/>
  </cols>
  <sheetData>
    <row r="1" spans="1:21" ht="3" hidden="1" customHeight="1" thickBot="1" x14ac:dyDescent="0.3">
      <c r="A1" s="107"/>
      <c r="B1" s="107"/>
      <c r="C1" s="107"/>
      <c r="D1" s="107"/>
      <c r="E1" s="107"/>
      <c r="F1" s="107"/>
      <c r="G1" s="107"/>
      <c r="H1" s="107"/>
      <c r="I1" s="107"/>
      <c r="J1" s="107"/>
    </row>
    <row r="2" spans="1:21" ht="15" hidden="1" customHeight="1" thickBot="1" x14ac:dyDescent="0.3">
      <c r="A2" s="107"/>
      <c r="B2" s="107"/>
      <c r="C2" s="107"/>
      <c r="D2" s="107"/>
      <c r="E2" s="107"/>
      <c r="F2" s="107"/>
      <c r="G2" s="107"/>
      <c r="H2" s="107"/>
      <c r="I2" s="107"/>
      <c r="J2" s="107"/>
    </row>
    <row r="3" spans="1:21" ht="15" hidden="1" customHeight="1" thickBot="1" x14ac:dyDescent="0.3">
      <c r="A3" s="107"/>
      <c r="B3" s="107"/>
      <c r="C3" s="107"/>
      <c r="D3" s="107"/>
      <c r="E3" s="107"/>
      <c r="F3" s="107"/>
      <c r="G3" s="107"/>
      <c r="H3" s="107"/>
      <c r="I3" s="107"/>
      <c r="J3" s="107"/>
    </row>
    <row r="4" spans="1:21" ht="15" hidden="1" customHeight="1" thickBot="1" x14ac:dyDescent="0.3">
      <c r="A4" s="107"/>
      <c r="B4" s="107"/>
      <c r="C4" s="107"/>
      <c r="D4" s="107"/>
      <c r="E4" s="107"/>
      <c r="F4" s="107"/>
      <c r="G4" s="107"/>
      <c r="H4" s="107"/>
      <c r="I4" s="107"/>
      <c r="J4" s="107"/>
    </row>
    <row r="5" spans="1:21" ht="15" hidden="1" customHeight="1" thickBot="1" x14ac:dyDescent="0.3">
      <c r="A5" s="107"/>
      <c r="B5" s="107"/>
      <c r="C5" s="107"/>
      <c r="D5" s="107"/>
      <c r="E5" s="107"/>
      <c r="F5" s="107"/>
      <c r="G5" s="107"/>
      <c r="H5" s="107"/>
      <c r="I5" s="107"/>
      <c r="J5" s="107"/>
    </row>
    <row r="6" spans="1:21" ht="15" thickBot="1" x14ac:dyDescent="0.35">
      <c r="A6" s="108" t="s">
        <v>84</v>
      </c>
      <c r="B6" s="109"/>
      <c r="C6" s="109"/>
      <c r="D6" s="109"/>
      <c r="E6" s="109"/>
      <c r="F6" s="109"/>
      <c r="G6" s="109"/>
      <c r="H6" s="109"/>
      <c r="I6" s="109"/>
      <c r="J6" s="109"/>
      <c r="L6" s="108" t="s">
        <v>85</v>
      </c>
      <c r="M6" s="109"/>
      <c r="N6" s="109"/>
      <c r="O6" s="109"/>
      <c r="P6" s="109"/>
      <c r="Q6" s="109"/>
      <c r="R6" s="109"/>
      <c r="S6" s="109"/>
      <c r="T6" s="109"/>
      <c r="U6" s="109"/>
    </row>
    <row r="7" spans="1:21" ht="15.6" thickTop="1" thickBot="1" x14ac:dyDescent="0.35">
      <c r="A7" s="4" t="s">
        <v>0</v>
      </c>
      <c r="B7" s="1" t="s">
        <v>1</v>
      </c>
      <c r="C7" s="1" t="s">
        <v>2</v>
      </c>
      <c r="D7" s="1" t="s">
        <v>3</v>
      </c>
      <c r="E7" s="1" t="s">
        <v>4</v>
      </c>
      <c r="F7" s="1" t="s">
        <v>5</v>
      </c>
      <c r="G7" s="1" t="s">
        <v>6</v>
      </c>
      <c r="H7" s="12" t="s">
        <v>7</v>
      </c>
      <c r="I7" s="1" t="s">
        <v>8</v>
      </c>
      <c r="J7" s="2" t="s">
        <v>9</v>
      </c>
      <c r="L7" s="4" t="s">
        <v>0</v>
      </c>
      <c r="M7" s="1" t="s">
        <v>1</v>
      </c>
      <c r="N7" s="1" t="s">
        <v>2</v>
      </c>
      <c r="O7" s="1" t="s">
        <v>3</v>
      </c>
      <c r="P7" s="1" t="s">
        <v>4</v>
      </c>
      <c r="Q7" s="1" t="s">
        <v>5</v>
      </c>
      <c r="R7" s="1" t="s">
        <v>6</v>
      </c>
      <c r="S7" s="12" t="s">
        <v>7</v>
      </c>
      <c r="T7" s="1" t="s">
        <v>8</v>
      </c>
      <c r="U7" s="2" t="s">
        <v>9</v>
      </c>
    </row>
    <row r="8" spans="1:21" ht="15" thickBot="1" x14ac:dyDescent="0.35">
      <c r="A8" s="5">
        <v>1014</v>
      </c>
      <c r="B8" s="6">
        <v>46241</v>
      </c>
      <c r="C8" s="3" t="s">
        <v>43</v>
      </c>
      <c r="D8" s="3" t="s">
        <v>38</v>
      </c>
      <c r="E8" s="3" t="s">
        <v>31</v>
      </c>
      <c r="F8" s="3" t="s">
        <v>24</v>
      </c>
      <c r="G8" s="3">
        <v>4</v>
      </c>
      <c r="H8" s="13">
        <v>2200</v>
      </c>
      <c r="I8" s="3" t="s">
        <v>25</v>
      </c>
      <c r="J8" s="7" t="s">
        <v>20</v>
      </c>
      <c r="L8" s="5">
        <v>1005</v>
      </c>
      <c r="M8" s="6">
        <v>46237</v>
      </c>
      <c r="N8" s="3" t="s">
        <v>29</v>
      </c>
      <c r="O8" s="3" t="s">
        <v>30</v>
      </c>
      <c r="P8" s="3" t="s">
        <v>31</v>
      </c>
      <c r="Q8" s="3" t="s">
        <v>24</v>
      </c>
      <c r="R8" s="3">
        <v>2</v>
      </c>
      <c r="S8" s="13">
        <v>2500</v>
      </c>
      <c r="T8" s="3" t="s">
        <v>19</v>
      </c>
      <c r="U8" s="7" t="s">
        <v>16</v>
      </c>
    </row>
    <row r="9" spans="1:21" ht="15" thickBot="1" x14ac:dyDescent="0.35">
      <c r="A9" s="5">
        <v>1003</v>
      </c>
      <c r="B9" s="6">
        <v>46236</v>
      </c>
      <c r="C9" s="3" t="s">
        <v>21</v>
      </c>
      <c r="D9" s="3" t="s">
        <v>22</v>
      </c>
      <c r="E9" s="3" t="s">
        <v>23</v>
      </c>
      <c r="F9" s="3" t="s">
        <v>24</v>
      </c>
      <c r="G9" s="3">
        <v>5</v>
      </c>
      <c r="H9" s="13">
        <v>1200</v>
      </c>
      <c r="I9" s="3" t="s">
        <v>25</v>
      </c>
      <c r="J9" s="7" t="s">
        <v>26</v>
      </c>
      <c r="L9" s="5">
        <v>1004</v>
      </c>
      <c r="M9" s="6">
        <v>46236</v>
      </c>
      <c r="N9" s="3" t="s">
        <v>27</v>
      </c>
      <c r="O9" s="3" t="s">
        <v>11</v>
      </c>
      <c r="P9" s="3" t="s">
        <v>28</v>
      </c>
      <c r="Q9" s="3" t="s">
        <v>24</v>
      </c>
      <c r="R9" s="3">
        <v>4</v>
      </c>
      <c r="S9" s="13">
        <v>800</v>
      </c>
      <c r="T9" s="3" t="s">
        <v>14</v>
      </c>
      <c r="U9" s="7" t="s">
        <v>15</v>
      </c>
    </row>
    <row r="10" spans="1:21" ht="15" thickBot="1" x14ac:dyDescent="0.35">
      <c r="A10" s="5">
        <v>1007</v>
      </c>
      <c r="B10" s="6">
        <v>46238</v>
      </c>
      <c r="C10" s="3" t="s">
        <v>34</v>
      </c>
      <c r="D10" s="3" t="s">
        <v>17</v>
      </c>
      <c r="E10" s="3" t="s">
        <v>12</v>
      </c>
      <c r="F10" s="3" t="s">
        <v>13</v>
      </c>
      <c r="G10" s="3">
        <v>1</v>
      </c>
      <c r="H10" s="13">
        <v>62000</v>
      </c>
      <c r="I10" s="3" t="s">
        <v>19</v>
      </c>
      <c r="J10" s="7" t="s">
        <v>26</v>
      </c>
      <c r="L10" s="5">
        <v>1013</v>
      </c>
      <c r="M10" s="6">
        <v>46241</v>
      </c>
      <c r="N10" s="3" t="s">
        <v>42</v>
      </c>
      <c r="O10" s="3" t="s">
        <v>17</v>
      </c>
      <c r="P10" s="3" t="s">
        <v>33</v>
      </c>
      <c r="Q10" s="3" t="s">
        <v>13</v>
      </c>
      <c r="R10" s="3">
        <v>3</v>
      </c>
      <c r="S10" s="13">
        <v>13500</v>
      </c>
      <c r="T10" s="3" t="s">
        <v>14</v>
      </c>
      <c r="U10" s="7" t="s">
        <v>16</v>
      </c>
    </row>
    <row r="11" spans="1:21" ht="15" thickBot="1" x14ac:dyDescent="0.35">
      <c r="A11" s="5">
        <v>1012</v>
      </c>
      <c r="B11" s="6">
        <v>46240</v>
      </c>
      <c r="C11" s="3" t="s">
        <v>41</v>
      </c>
      <c r="D11" s="3" t="s">
        <v>22</v>
      </c>
      <c r="E11" s="3" t="s">
        <v>12</v>
      </c>
      <c r="F11" s="3" t="s">
        <v>13</v>
      </c>
      <c r="G11" s="3">
        <v>1</v>
      </c>
      <c r="H11" s="13">
        <v>58000</v>
      </c>
      <c r="I11" s="3" t="s">
        <v>19</v>
      </c>
      <c r="J11" s="7" t="s">
        <v>15</v>
      </c>
      <c r="L11" s="5">
        <v>1009</v>
      </c>
      <c r="M11" s="6">
        <v>46239</v>
      </c>
      <c r="N11" s="3" t="s">
        <v>37</v>
      </c>
      <c r="O11" s="3" t="s">
        <v>38</v>
      </c>
      <c r="P11" s="3" t="s">
        <v>78</v>
      </c>
      <c r="Q11" s="3" t="s">
        <v>13</v>
      </c>
      <c r="R11" s="3">
        <v>2</v>
      </c>
      <c r="S11" s="13">
        <v>18000</v>
      </c>
      <c r="T11" s="3" t="s">
        <v>14</v>
      </c>
      <c r="U11" s="7" t="s">
        <v>16</v>
      </c>
    </row>
    <row r="12" spans="1:21" ht="15" thickBot="1" x14ac:dyDescent="0.35">
      <c r="A12" s="5">
        <v>1008</v>
      </c>
      <c r="B12" s="6">
        <v>46238</v>
      </c>
      <c r="C12" s="3" t="s">
        <v>35</v>
      </c>
      <c r="D12" s="3" t="s">
        <v>11</v>
      </c>
      <c r="E12" s="3" t="s">
        <v>36</v>
      </c>
      <c r="F12" s="3" t="s">
        <v>13</v>
      </c>
      <c r="G12" s="3">
        <v>2</v>
      </c>
      <c r="H12" s="13">
        <v>9500</v>
      </c>
      <c r="I12" s="3" t="s">
        <v>25</v>
      </c>
      <c r="J12" s="7" t="s">
        <v>15</v>
      </c>
      <c r="L12" s="5">
        <v>1001</v>
      </c>
      <c r="M12" s="6">
        <v>46235</v>
      </c>
      <c r="N12" s="3" t="s">
        <v>10</v>
      </c>
      <c r="O12" s="3" t="s">
        <v>11</v>
      </c>
      <c r="P12" s="3" t="s">
        <v>12</v>
      </c>
      <c r="Q12" s="3" t="s">
        <v>13</v>
      </c>
      <c r="R12" s="3">
        <v>2</v>
      </c>
      <c r="S12" s="13">
        <v>55000</v>
      </c>
      <c r="T12" s="3" t="s">
        <v>14</v>
      </c>
      <c r="U12" s="7" t="s">
        <v>15</v>
      </c>
    </row>
    <row r="13" spans="1:21" ht="15" thickBot="1" x14ac:dyDescent="0.35">
      <c r="A13" s="5">
        <v>1015</v>
      </c>
      <c r="B13" s="6">
        <v>46242</v>
      </c>
      <c r="C13" s="3" t="s">
        <v>44</v>
      </c>
      <c r="D13" s="3" t="s">
        <v>30</v>
      </c>
      <c r="E13" s="3" t="s">
        <v>36</v>
      </c>
      <c r="F13" s="3" t="s">
        <v>13</v>
      </c>
      <c r="G13" s="3">
        <v>1</v>
      </c>
      <c r="H13" s="13">
        <v>11000</v>
      </c>
      <c r="I13" s="3" t="s">
        <v>19</v>
      </c>
      <c r="J13" s="7" t="s">
        <v>26</v>
      </c>
      <c r="L13" s="5">
        <v>1002</v>
      </c>
      <c r="M13" s="6">
        <v>46235</v>
      </c>
      <c r="N13" s="3" t="s">
        <v>16</v>
      </c>
      <c r="O13" s="3" t="s">
        <v>17</v>
      </c>
      <c r="P13" s="3" t="s">
        <v>18</v>
      </c>
      <c r="Q13" s="3" t="s">
        <v>13</v>
      </c>
      <c r="R13" s="3">
        <v>3</v>
      </c>
      <c r="S13" s="13">
        <v>22000</v>
      </c>
      <c r="T13" s="3" t="s">
        <v>19</v>
      </c>
      <c r="U13" s="7" t="s">
        <v>20</v>
      </c>
    </row>
    <row r="14" spans="1:21" ht="15" thickBot="1" x14ac:dyDescent="0.35">
      <c r="A14" s="5">
        <v>1010</v>
      </c>
      <c r="B14" s="6">
        <v>46239</v>
      </c>
      <c r="C14" s="3" t="s">
        <v>39</v>
      </c>
      <c r="D14" s="3" t="s">
        <v>30</v>
      </c>
      <c r="E14" s="3" t="s">
        <v>23</v>
      </c>
      <c r="F14" s="3" t="s">
        <v>24</v>
      </c>
      <c r="G14" s="3">
        <v>3</v>
      </c>
      <c r="H14" s="13">
        <v>1500</v>
      </c>
      <c r="I14" s="3" t="s">
        <v>19</v>
      </c>
      <c r="J14" s="7" t="s">
        <v>20</v>
      </c>
      <c r="L14" s="5">
        <v>1006</v>
      </c>
      <c r="M14" s="6">
        <v>46237</v>
      </c>
      <c r="N14" s="3" t="s">
        <v>32</v>
      </c>
      <c r="O14" s="3" t="s">
        <v>22</v>
      </c>
      <c r="P14" s="3" t="s">
        <v>33</v>
      </c>
      <c r="Q14" s="3" t="s">
        <v>13</v>
      </c>
      <c r="R14" s="3">
        <v>2</v>
      </c>
      <c r="S14" s="13">
        <v>15000</v>
      </c>
      <c r="T14" s="3" t="s">
        <v>14</v>
      </c>
      <c r="U14" s="7" t="s">
        <v>20</v>
      </c>
    </row>
    <row r="15" spans="1:21" ht="15" thickBot="1" x14ac:dyDescent="0.35">
      <c r="A15" s="5">
        <v>1011</v>
      </c>
      <c r="B15" s="6">
        <v>46240</v>
      </c>
      <c r="C15" s="3" t="s">
        <v>40</v>
      </c>
      <c r="D15" s="3" t="s">
        <v>11</v>
      </c>
      <c r="E15" s="3" t="s">
        <v>28</v>
      </c>
      <c r="F15" s="3" t="s">
        <v>24</v>
      </c>
      <c r="G15" s="3">
        <v>6</v>
      </c>
      <c r="H15" s="13">
        <v>700</v>
      </c>
      <c r="I15" s="3" t="s">
        <v>14</v>
      </c>
      <c r="J15" s="7" t="s">
        <v>26</v>
      </c>
      <c r="L15" s="5">
        <v>1011</v>
      </c>
      <c r="M15" s="6">
        <v>46240</v>
      </c>
      <c r="N15" s="3" t="s">
        <v>40</v>
      </c>
      <c r="O15" s="3" t="s">
        <v>11</v>
      </c>
      <c r="P15" s="3" t="s">
        <v>28</v>
      </c>
      <c r="Q15" s="3" t="s">
        <v>24</v>
      </c>
      <c r="R15" s="3">
        <v>6</v>
      </c>
      <c r="S15" s="13">
        <v>700</v>
      </c>
      <c r="T15" s="3" t="s">
        <v>14</v>
      </c>
      <c r="U15" s="7" t="s">
        <v>26</v>
      </c>
    </row>
    <row r="16" spans="1:21" ht="15" thickBot="1" x14ac:dyDescent="0.35">
      <c r="A16" s="5">
        <v>1006</v>
      </c>
      <c r="B16" s="6">
        <v>46237</v>
      </c>
      <c r="C16" s="3" t="s">
        <v>32</v>
      </c>
      <c r="D16" s="3" t="s">
        <v>22</v>
      </c>
      <c r="E16" s="3" t="s">
        <v>33</v>
      </c>
      <c r="F16" s="3" t="s">
        <v>13</v>
      </c>
      <c r="G16" s="3">
        <v>2</v>
      </c>
      <c r="H16" s="13">
        <v>15000</v>
      </c>
      <c r="I16" s="3" t="s">
        <v>14</v>
      </c>
      <c r="J16" s="7" t="s">
        <v>20</v>
      </c>
      <c r="L16" s="5">
        <v>1010</v>
      </c>
      <c r="M16" s="6">
        <v>46239</v>
      </c>
      <c r="N16" s="3" t="s">
        <v>39</v>
      </c>
      <c r="O16" s="3" t="s">
        <v>30</v>
      </c>
      <c r="P16" s="3" t="s">
        <v>23</v>
      </c>
      <c r="Q16" s="3" t="s">
        <v>24</v>
      </c>
      <c r="R16" s="3">
        <v>3</v>
      </c>
      <c r="S16" s="13">
        <v>1500</v>
      </c>
      <c r="T16" s="3" t="s">
        <v>19</v>
      </c>
      <c r="U16" s="7" t="s">
        <v>20</v>
      </c>
    </row>
    <row r="17" spans="1:21" ht="15" thickBot="1" x14ac:dyDescent="0.35">
      <c r="A17" s="5">
        <v>1002</v>
      </c>
      <c r="B17" s="6">
        <v>46235</v>
      </c>
      <c r="C17" s="3" t="s">
        <v>16</v>
      </c>
      <c r="D17" s="3" t="s">
        <v>17</v>
      </c>
      <c r="E17" s="3" t="s">
        <v>18</v>
      </c>
      <c r="F17" s="3" t="s">
        <v>13</v>
      </c>
      <c r="G17" s="3">
        <v>3</v>
      </c>
      <c r="H17" s="13">
        <v>22000</v>
      </c>
      <c r="I17" s="3" t="s">
        <v>19</v>
      </c>
      <c r="J17" s="7" t="s">
        <v>20</v>
      </c>
      <c r="L17" s="5">
        <v>1015</v>
      </c>
      <c r="M17" s="6">
        <v>46242</v>
      </c>
      <c r="N17" s="3" t="s">
        <v>44</v>
      </c>
      <c r="O17" s="3" t="s">
        <v>30</v>
      </c>
      <c r="P17" s="3" t="s">
        <v>36</v>
      </c>
      <c r="Q17" s="3" t="s">
        <v>13</v>
      </c>
      <c r="R17" s="3">
        <v>1</v>
      </c>
      <c r="S17" s="13">
        <v>11000</v>
      </c>
      <c r="T17" s="3" t="s">
        <v>19</v>
      </c>
      <c r="U17" s="7" t="s">
        <v>26</v>
      </c>
    </row>
    <row r="18" spans="1:21" ht="15" thickBot="1" x14ac:dyDescent="0.35">
      <c r="A18" s="5">
        <v>1001</v>
      </c>
      <c r="B18" s="6">
        <v>46235</v>
      </c>
      <c r="C18" s="3" t="s">
        <v>10</v>
      </c>
      <c r="D18" s="3" t="s">
        <v>11</v>
      </c>
      <c r="E18" s="3" t="s">
        <v>12</v>
      </c>
      <c r="F18" s="3" t="s">
        <v>13</v>
      </c>
      <c r="G18" s="3">
        <v>2</v>
      </c>
      <c r="H18" s="13">
        <v>55000</v>
      </c>
      <c r="I18" s="3" t="s">
        <v>14</v>
      </c>
      <c r="J18" s="7" t="s">
        <v>15</v>
      </c>
      <c r="L18" s="5">
        <v>1008</v>
      </c>
      <c r="M18" s="6">
        <v>46238</v>
      </c>
      <c r="N18" s="3" t="s">
        <v>35</v>
      </c>
      <c r="O18" s="3" t="s">
        <v>11</v>
      </c>
      <c r="P18" s="3" t="s">
        <v>36</v>
      </c>
      <c r="Q18" s="3" t="s">
        <v>13</v>
      </c>
      <c r="R18" s="3">
        <v>2</v>
      </c>
      <c r="S18" s="13">
        <v>9500</v>
      </c>
      <c r="T18" s="3" t="s">
        <v>25</v>
      </c>
      <c r="U18" s="7" t="s">
        <v>15</v>
      </c>
    </row>
    <row r="19" spans="1:21" ht="15" thickBot="1" x14ac:dyDescent="0.35">
      <c r="A19" s="5">
        <v>1009</v>
      </c>
      <c r="B19" s="6">
        <v>46239</v>
      </c>
      <c r="C19" s="3" t="s">
        <v>37</v>
      </c>
      <c r="D19" s="3" t="s">
        <v>38</v>
      </c>
      <c r="E19" s="3" t="s">
        <v>78</v>
      </c>
      <c r="F19" s="3" t="s">
        <v>13</v>
      </c>
      <c r="G19" s="3">
        <v>2</v>
      </c>
      <c r="H19" s="13">
        <v>18000</v>
      </c>
      <c r="I19" s="3" t="s">
        <v>14</v>
      </c>
      <c r="J19" s="7" t="s">
        <v>16</v>
      </c>
      <c r="L19" s="5">
        <v>1012</v>
      </c>
      <c r="M19" s="6">
        <v>46240</v>
      </c>
      <c r="N19" s="3" t="s">
        <v>41</v>
      </c>
      <c r="O19" s="3" t="s">
        <v>22</v>
      </c>
      <c r="P19" s="3" t="s">
        <v>12</v>
      </c>
      <c r="Q19" s="3" t="s">
        <v>13</v>
      </c>
      <c r="R19" s="3">
        <v>1</v>
      </c>
      <c r="S19" s="13">
        <v>58000</v>
      </c>
      <c r="T19" s="3" t="s">
        <v>19</v>
      </c>
      <c r="U19" s="7" t="s">
        <v>15</v>
      </c>
    </row>
    <row r="20" spans="1:21" ht="15" thickBot="1" x14ac:dyDescent="0.35">
      <c r="A20" s="5">
        <v>1013</v>
      </c>
      <c r="B20" s="6">
        <v>46241</v>
      </c>
      <c r="C20" s="3" t="s">
        <v>42</v>
      </c>
      <c r="D20" s="3" t="s">
        <v>17</v>
      </c>
      <c r="E20" s="3" t="s">
        <v>33</v>
      </c>
      <c r="F20" s="3" t="s">
        <v>13</v>
      </c>
      <c r="G20" s="3">
        <v>3</v>
      </c>
      <c r="H20" s="13">
        <v>13500</v>
      </c>
      <c r="I20" s="3" t="s">
        <v>14</v>
      </c>
      <c r="J20" s="7" t="s">
        <v>16</v>
      </c>
      <c r="L20" s="5">
        <v>1007</v>
      </c>
      <c r="M20" s="6">
        <v>46238</v>
      </c>
      <c r="N20" s="3" t="s">
        <v>34</v>
      </c>
      <c r="O20" s="3" t="s">
        <v>17</v>
      </c>
      <c r="P20" s="3" t="s">
        <v>12</v>
      </c>
      <c r="Q20" s="3" t="s">
        <v>13</v>
      </c>
      <c r="R20" s="3">
        <v>1</v>
      </c>
      <c r="S20" s="13">
        <v>62000</v>
      </c>
      <c r="T20" s="3" t="s">
        <v>19</v>
      </c>
      <c r="U20" s="7" t="s">
        <v>26</v>
      </c>
    </row>
    <row r="21" spans="1:21" ht="15" thickBot="1" x14ac:dyDescent="0.35">
      <c r="A21" s="5">
        <v>1004</v>
      </c>
      <c r="B21" s="6">
        <v>46236</v>
      </c>
      <c r="C21" s="3" t="s">
        <v>27</v>
      </c>
      <c r="D21" s="3" t="s">
        <v>11</v>
      </c>
      <c r="E21" s="3" t="s">
        <v>28</v>
      </c>
      <c r="F21" s="3" t="s">
        <v>24</v>
      </c>
      <c r="G21" s="3">
        <v>4</v>
      </c>
      <c r="H21" s="13">
        <v>800</v>
      </c>
      <c r="I21" s="3" t="s">
        <v>14</v>
      </c>
      <c r="J21" s="7" t="s">
        <v>15</v>
      </c>
      <c r="L21" s="5">
        <v>1003</v>
      </c>
      <c r="M21" s="6">
        <v>46236</v>
      </c>
      <c r="N21" s="3" t="s">
        <v>21</v>
      </c>
      <c r="O21" s="3" t="s">
        <v>22</v>
      </c>
      <c r="P21" s="3" t="s">
        <v>23</v>
      </c>
      <c r="Q21" s="3" t="s">
        <v>24</v>
      </c>
      <c r="R21" s="3">
        <v>5</v>
      </c>
      <c r="S21" s="13">
        <v>1200</v>
      </c>
      <c r="T21" s="3" t="s">
        <v>25</v>
      </c>
      <c r="U21" s="7" t="s">
        <v>26</v>
      </c>
    </row>
    <row r="22" spans="1:21" ht="15" thickBot="1" x14ac:dyDescent="0.35">
      <c r="A22" s="5">
        <v>1005</v>
      </c>
      <c r="B22" s="6">
        <v>46237</v>
      </c>
      <c r="C22" s="3" t="s">
        <v>29</v>
      </c>
      <c r="D22" s="3" t="s">
        <v>30</v>
      </c>
      <c r="E22" s="3" t="s">
        <v>31</v>
      </c>
      <c r="F22" s="3" t="s">
        <v>24</v>
      </c>
      <c r="G22" s="3">
        <v>2</v>
      </c>
      <c r="H22" s="13">
        <v>2500</v>
      </c>
      <c r="I22" s="3" t="s">
        <v>19</v>
      </c>
      <c r="J22" s="7" t="s">
        <v>16</v>
      </c>
      <c r="L22" s="5">
        <v>1014</v>
      </c>
      <c r="M22" s="6">
        <v>46241</v>
      </c>
      <c r="N22" s="3" t="s">
        <v>43</v>
      </c>
      <c r="O22" s="3" t="s">
        <v>38</v>
      </c>
      <c r="P22" s="3" t="s">
        <v>31</v>
      </c>
      <c r="Q22" s="3" t="s">
        <v>24</v>
      </c>
      <c r="R22" s="3">
        <v>4</v>
      </c>
      <c r="S22" s="13">
        <v>2200</v>
      </c>
      <c r="T22" s="3" t="s">
        <v>25</v>
      </c>
      <c r="U22" s="7" t="s">
        <v>20</v>
      </c>
    </row>
    <row r="23" spans="1:21" ht="14.4" customHeight="1" x14ac:dyDescent="0.3"/>
    <row r="25" spans="1:21" ht="15" thickBot="1" x14ac:dyDescent="0.35">
      <c r="B25" s="108" t="s">
        <v>86</v>
      </c>
      <c r="C25" s="109"/>
      <c r="D25" s="109"/>
      <c r="E25" s="109"/>
      <c r="F25" s="109"/>
      <c r="G25" s="109"/>
      <c r="H25" s="109"/>
      <c r="I25" s="109"/>
      <c r="J25" s="109"/>
      <c r="K25" s="109"/>
    </row>
    <row r="26" spans="1:21" ht="15.6" thickTop="1" thickBot="1" x14ac:dyDescent="0.35">
      <c r="B26" s="4" t="s">
        <v>0</v>
      </c>
      <c r="C26" s="1" t="s">
        <v>1</v>
      </c>
      <c r="D26" s="1" t="s">
        <v>2</v>
      </c>
      <c r="E26" s="1" t="s">
        <v>3</v>
      </c>
      <c r="F26" s="1" t="s">
        <v>4</v>
      </c>
      <c r="G26" s="1" t="s">
        <v>5</v>
      </c>
      <c r="H26" s="1" t="s">
        <v>6</v>
      </c>
      <c r="I26" s="12" t="s">
        <v>7</v>
      </c>
      <c r="J26" s="1" t="s">
        <v>8</v>
      </c>
      <c r="K26" s="2" t="s">
        <v>9</v>
      </c>
    </row>
    <row r="27" spans="1:21" ht="15" thickBot="1" x14ac:dyDescent="0.35">
      <c r="B27" s="5">
        <v>1014</v>
      </c>
      <c r="C27" s="6">
        <v>46241</v>
      </c>
      <c r="D27" s="3" t="s">
        <v>43</v>
      </c>
      <c r="E27" s="3" t="s">
        <v>38</v>
      </c>
      <c r="F27" s="3" t="s">
        <v>31</v>
      </c>
      <c r="G27" s="3" t="s">
        <v>24</v>
      </c>
      <c r="H27" s="3">
        <v>4</v>
      </c>
      <c r="I27" s="13">
        <v>2200</v>
      </c>
      <c r="J27" s="3" t="s">
        <v>25</v>
      </c>
      <c r="K27" s="7" t="s">
        <v>20</v>
      </c>
    </row>
    <row r="28" spans="1:21" ht="15" thickBot="1" x14ac:dyDescent="0.35">
      <c r="B28" s="5">
        <v>1003</v>
      </c>
      <c r="C28" s="6">
        <v>46236</v>
      </c>
      <c r="D28" s="3" t="s">
        <v>21</v>
      </c>
      <c r="E28" s="3" t="s">
        <v>22</v>
      </c>
      <c r="F28" s="3" t="s">
        <v>23</v>
      </c>
      <c r="G28" s="3" t="s">
        <v>24</v>
      </c>
      <c r="H28" s="3">
        <v>5</v>
      </c>
      <c r="I28" s="13">
        <v>1200</v>
      </c>
      <c r="J28" s="3" t="s">
        <v>25</v>
      </c>
      <c r="K28" s="7" t="s">
        <v>26</v>
      </c>
    </row>
    <row r="29" spans="1:21" ht="15" thickBot="1" x14ac:dyDescent="0.35">
      <c r="B29" s="5">
        <v>1007</v>
      </c>
      <c r="C29" s="6">
        <v>46238</v>
      </c>
      <c r="D29" s="3" t="s">
        <v>34</v>
      </c>
      <c r="E29" s="3" t="s">
        <v>17</v>
      </c>
      <c r="F29" s="3" t="s">
        <v>12</v>
      </c>
      <c r="G29" s="3" t="s">
        <v>13</v>
      </c>
      <c r="H29" s="3">
        <v>1</v>
      </c>
      <c r="I29" s="13">
        <v>62000</v>
      </c>
      <c r="J29" s="3" t="s">
        <v>19</v>
      </c>
      <c r="K29" s="7" t="s">
        <v>26</v>
      </c>
    </row>
    <row r="30" spans="1:21" ht="15" thickBot="1" x14ac:dyDescent="0.35">
      <c r="B30" s="5">
        <v>1012</v>
      </c>
      <c r="C30" s="6">
        <v>46240</v>
      </c>
      <c r="D30" s="3" t="s">
        <v>41</v>
      </c>
      <c r="E30" s="3" t="s">
        <v>22</v>
      </c>
      <c r="F30" s="3" t="s">
        <v>12</v>
      </c>
      <c r="G30" s="3" t="s">
        <v>13</v>
      </c>
      <c r="H30" s="3">
        <v>1</v>
      </c>
      <c r="I30" s="13">
        <v>58000</v>
      </c>
      <c r="J30" s="3" t="s">
        <v>19</v>
      </c>
      <c r="K30" s="7" t="s">
        <v>15</v>
      </c>
    </row>
    <row r="31" spans="1:21" ht="15" thickBot="1" x14ac:dyDescent="0.35">
      <c r="B31" s="5">
        <v>1008</v>
      </c>
      <c r="C31" s="6">
        <v>46238</v>
      </c>
      <c r="D31" s="3" t="s">
        <v>35</v>
      </c>
      <c r="E31" s="3" t="s">
        <v>11</v>
      </c>
      <c r="F31" s="3" t="s">
        <v>36</v>
      </c>
      <c r="G31" s="3" t="s">
        <v>13</v>
      </c>
      <c r="H31" s="3">
        <v>2</v>
      </c>
      <c r="I31" s="13">
        <v>9500</v>
      </c>
      <c r="J31" s="3" t="s">
        <v>25</v>
      </c>
      <c r="K31" s="7" t="s">
        <v>15</v>
      </c>
    </row>
    <row r="32" spans="1:21" ht="15" thickBot="1" x14ac:dyDescent="0.35">
      <c r="B32" s="5">
        <v>1015</v>
      </c>
      <c r="C32" s="6">
        <v>46242</v>
      </c>
      <c r="D32" s="3" t="s">
        <v>44</v>
      </c>
      <c r="E32" s="3" t="s">
        <v>30</v>
      </c>
      <c r="F32" s="3" t="s">
        <v>36</v>
      </c>
      <c r="G32" s="3" t="s">
        <v>13</v>
      </c>
      <c r="H32" s="3">
        <v>1</v>
      </c>
      <c r="I32" s="13">
        <v>11000</v>
      </c>
      <c r="J32" s="3" t="s">
        <v>19</v>
      </c>
      <c r="K32" s="7" t="s">
        <v>26</v>
      </c>
    </row>
    <row r="33" spans="2:11" ht="15" thickBot="1" x14ac:dyDescent="0.35">
      <c r="B33" s="5">
        <v>1010</v>
      </c>
      <c r="C33" s="6">
        <v>46239</v>
      </c>
      <c r="D33" s="3" t="s">
        <v>39</v>
      </c>
      <c r="E33" s="3" t="s">
        <v>30</v>
      </c>
      <c r="F33" s="3" t="s">
        <v>23</v>
      </c>
      <c r="G33" s="3" t="s">
        <v>24</v>
      </c>
      <c r="H33" s="3">
        <v>3</v>
      </c>
      <c r="I33" s="13">
        <v>1500</v>
      </c>
      <c r="J33" s="3" t="s">
        <v>19</v>
      </c>
      <c r="K33" s="7" t="s">
        <v>20</v>
      </c>
    </row>
    <row r="34" spans="2:11" ht="15" thickBot="1" x14ac:dyDescent="0.35">
      <c r="B34" s="5">
        <v>1011</v>
      </c>
      <c r="C34" s="6">
        <v>46240</v>
      </c>
      <c r="D34" s="3" t="s">
        <v>40</v>
      </c>
      <c r="E34" s="3" t="s">
        <v>11</v>
      </c>
      <c r="F34" s="3" t="s">
        <v>28</v>
      </c>
      <c r="G34" s="3" t="s">
        <v>24</v>
      </c>
      <c r="H34" s="3">
        <v>6</v>
      </c>
      <c r="I34" s="13">
        <v>700</v>
      </c>
      <c r="J34" s="3" t="s">
        <v>14</v>
      </c>
      <c r="K34" s="7" t="s">
        <v>26</v>
      </c>
    </row>
    <row r="35" spans="2:11" ht="15" thickBot="1" x14ac:dyDescent="0.35">
      <c r="B35" s="5">
        <v>1006</v>
      </c>
      <c r="C35" s="6">
        <v>46237</v>
      </c>
      <c r="D35" s="3" t="s">
        <v>32</v>
      </c>
      <c r="E35" s="3" t="s">
        <v>22</v>
      </c>
      <c r="F35" s="3" t="s">
        <v>33</v>
      </c>
      <c r="G35" s="3" t="s">
        <v>13</v>
      </c>
      <c r="H35" s="3">
        <v>2</v>
      </c>
      <c r="I35" s="13">
        <v>15000</v>
      </c>
      <c r="J35" s="3" t="s">
        <v>14</v>
      </c>
      <c r="K35" s="7" t="s">
        <v>20</v>
      </c>
    </row>
    <row r="36" spans="2:11" ht="15" thickBot="1" x14ac:dyDescent="0.35">
      <c r="B36" s="5">
        <v>1002</v>
      </c>
      <c r="C36" s="6">
        <v>46235</v>
      </c>
      <c r="D36" s="3" t="s">
        <v>16</v>
      </c>
      <c r="E36" s="3" t="s">
        <v>17</v>
      </c>
      <c r="F36" s="3" t="s">
        <v>18</v>
      </c>
      <c r="G36" s="3" t="s">
        <v>13</v>
      </c>
      <c r="H36" s="3">
        <v>3</v>
      </c>
      <c r="I36" s="13">
        <v>22000</v>
      </c>
      <c r="J36" s="3" t="s">
        <v>19</v>
      </c>
      <c r="K36" s="7" t="s">
        <v>20</v>
      </c>
    </row>
    <row r="37" spans="2:11" ht="15" thickBot="1" x14ac:dyDescent="0.35">
      <c r="B37" s="5">
        <v>1001</v>
      </c>
      <c r="C37" s="6">
        <v>46235</v>
      </c>
      <c r="D37" s="3" t="s">
        <v>10</v>
      </c>
      <c r="E37" s="3" t="s">
        <v>11</v>
      </c>
      <c r="F37" s="3" t="s">
        <v>12</v>
      </c>
      <c r="G37" s="3" t="s">
        <v>13</v>
      </c>
      <c r="H37" s="3">
        <v>2</v>
      </c>
      <c r="I37" s="13">
        <v>55000</v>
      </c>
      <c r="J37" s="3" t="s">
        <v>14</v>
      </c>
      <c r="K37" s="7" t="s">
        <v>15</v>
      </c>
    </row>
    <row r="38" spans="2:11" ht="15" thickBot="1" x14ac:dyDescent="0.35">
      <c r="B38" s="5">
        <v>1009</v>
      </c>
      <c r="C38" s="6">
        <v>46239</v>
      </c>
      <c r="D38" s="3" t="s">
        <v>37</v>
      </c>
      <c r="E38" s="3" t="s">
        <v>38</v>
      </c>
      <c r="F38" s="3" t="s">
        <v>78</v>
      </c>
      <c r="G38" s="3" t="s">
        <v>13</v>
      </c>
      <c r="H38" s="3">
        <v>2</v>
      </c>
      <c r="I38" s="13">
        <v>18000</v>
      </c>
      <c r="J38" s="3" t="s">
        <v>14</v>
      </c>
      <c r="K38" s="7" t="s">
        <v>16</v>
      </c>
    </row>
    <row r="39" spans="2:11" ht="15" thickBot="1" x14ac:dyDescent="0.35">
      <c r="B39" s="5">
        <v>1013</v>
      </c>
      <c r="C39" s="6">
        <v>46241</v>
      </c>
      <c r="D39" s="3" t="s">
        <v>42</v>
      </c>
      <c r="E39" s="3" t="s">
        <v>17</v>
      </c>
      <c r="F39" s="3" t="s">
        <v>33</v>
      </c>
      <c r="G39" s="3" t="s">
        <v>13</v>
      </c>
      <c r="H39" s="3">
        <v>3</v>
      </c>
      <c r="I39" s="13">
        <v>13500</v>
      </c>
      <c r="J39" s="3" t="s">
        <v>14</v>
      </c>
      <c r="K39" s="7" t="s">
        <v>16</v>
      </c>
    </row>
    <row r="40" spans="2:11" ht="15" thickBot="1" x14ac:dyDescent="0.35">
      <c r="B40" s="5">
        <v>1004</v>
      </c>
      <c r="C40" s="6">
        <v>46236</v>
      </c>
      <c r="D40" s="3" t="s">
        <v>27</v>
      </c>
      <c r="E40" s="3" t="s">
        <v>11</v>
      </c>
      <c r="F40" s="3" t="s">
        <v>28</v>
      </c>
      <c r="G40" s="3" t="s">
        <v>24</v>
      </c>
      <c r="H40" s="3">
        <v>4</v>
      </c>
      <c r="I40" s="13">
        <v>800</v>
      </c>
      <c r="J40" s="3" t="s">
        <v>14</v>
      </c>
      <c r="K40" s="7" t="s">
        <v>15</v>
      </c>
    </row>
    <row r="41" spans="2:11" ht="15" thickBot="1" x14ac:dyDescent="0.35">
      <c r="B41" s="5">
        <v>1005</v>
      </c>
      <c r="C41" s="6">
        <v>46237</v>
      </c>
      <c r="D41" s="3" t="s">
        <v>29</v>
      </c>
      <c r="E41" s="3" t="s">
        <v>30</v>
      </c>
      <c r="F41" s="3" t="s">
        <v>31</v>
      </c>
      <c r="G41" s="3" t="s">
        <v>24</v>
      </c>
      <c r="H41" s="3">
        <v>2</v>
      </c>
      <c r="I41" s="13">
        <v>2500</v>
      </c>
      <c r="J41" s="3" t="s">
        <v>19</v>
      </c>
      <c r="K41" s="7" t="s">
        <v>16</v>
      </c>
    </row>
    <row r="61" ht="29.4" customHeight="1" x14ac:dyDescent="0.3"/>
    <row r="63" ht="29.4" customHeight="1" x14ac:dyDescent="0.3"/>
    <row r="64" ht="29.4" customHeight="1" x14ac:dyDescent="0.3"/>
    <row r="68" ht="29.4" customHeight="1" x14ac:dyDescent="0.3"/>
    <row r="69" ht="29.4" customHeight="1" x14ac:dyDescent="0.3"/>
    <row r="71" ht="29.4" customHeight="1" x14ac:dyDescent="0.3"/>
    <row r="74" ht="29.4" customHeight="1" x14ac:dyDescent="0.3"/>
    <row r="75" ht="29.4" customHeight="1" x14ac:dyDescent="0.3"/>
    <row r="76" ht="29.4" customHeight="1" x14ac:dyDescent="0.3"/>
    <row r="79" ht="29.4" customHeight="1" x14ac:dyDescent="0.3"/>
    <row r="80" ht="29.4" customHeight="1" x14ac:dyDescent="0.3"/>
    <row r="83" ht="29.4" customHeight="1" x14ac:dyDescent="0.3"/>
    <row r="84" ht="29.4" customHeight="1" x14ac:dyDescent="0.3"/>
    <row r="85" ht="29.4" customHeight="1" x14ac:dyDescent="0.3"/>
    <row r="86" ht="29.4" customHeight="1" x14ac:dyDescent="0.3"/>
    <row r="87" ht="29.4" customHeight="1" x14ac:dyDescent="0.3"/>
    <row r="89" ht="29.4" customHeight="1" x14ac:dyDescent="0.3"/>
    <row r="90" ht="29.4" customHeight="1" x14ac:dyDescent="0.3"/>
    <row r="91" ht="29.4" customHeight="1" x14ac:dyDescent="0.3"/>
    <row r="92" ht="29.4" customHeight="1" x14ac:dyDescent="0.3"/>
    <row r="93" ht="29.4" customHeight="1" x14ac:dyDescent="0.3"/>
    <row r="94" ht="29.4" customHeight="1" x14ac:dyDescent="0.3"/>
    <row r="95" ht="29.4" customHeight="1" x14ac:dyDescent="0.3"/>
    <row r="96" ht="29.4" customHeight="1" x14ac:dyDescent="0.3"/>
    <row r="97" ht="29.4" customHeight="1" x14ac:dyDescent="0.3"/>
    <row r="98" ht="29.4" customHeight="1" x14ac:dyDescent="0.3"/>
    <row r="99" ht="29.4" customHeight="1" x14ac:dyDescent="0.3"/>
    <row r="100" ht="29.4" customHeight="1" x14ac:dyDescent="0.3"/>
    <row r="101" ht="29.4" customHeight="1" x14ac:dyDescent="0.3"/>
    <row r="102" ht="29.4" customHeight="1" x14ac:dyDescent="0.3"/>
    <row r="103" ht="29.4" customHeight="1" x14ac:dyDescent="0.3"/>
    <row r="104" ht="29.4" customHeight="1" x14ac:dyDescent="0.3"/>
    <row r="105" ht="29.4" customHeight="1" x14ac:dyDescent="0.3"/>
    <row r="106" ht="29.4" customHeight="1" x14ac:dyDescent="0.3"/>
    <row r="107" ht="29.4" customHeight="1" x14ac:dyDescent="0.3"/>
  </sheetData>
  <sortState xmlns:xlrd2="http://schemas.microsoft.com/office/spreadsheetml/2017/richdata2" ref="B27:K41">
    <sortCondition ref="D27:D41"/>
    <sortCondition ref="F27:F41" customList="Electronics,Accessories"/>
  </sortState>
  <mergeCells count="8">
    <mergeCell ref="A1:J1"/>
    <mergeCell ref="L6:U6"/>
    <mergeCell ref="B25:K25"/>
    <mergeCell ref="A2:J2"/>
    <mergeCell ref="A3:J3"/>
    <mergeCell ref="A4:J4"/>
    <mergeCell ref="A5:J5"/>
    <mergeCell ref="A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B533E-18A7-40D7-AAA9-B8DBAF09F5A4}">
  <sheetPr filterMode="1"/>
  <dimension ref="A1:J53"/>
  <sheetViews>
    <sheetView workbookViewId="0">
      <selection activeCell="A2" sqref="A2:J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2" max="12" width="7.5546875" bestFit="1" customWidth="1"/>
    <col min="13" max="13" width="10.33203125" bestFit="1" customWidth="1"/>
    <col min="14" max="14" width="9.109375" bestFit="1" customWidth="1"/>
    <col min="15" max="15" width="8.21875" bestFit="1" customWidth="1"/>
    <col min="16" max="16" width="11.109375" bestFit="1" customWidth="1"/>
    <col min="17" max="17" width="10.44140625" bestFit="1" customWidth="1"/>
    <col min="18" max="18" width="8.33203125" bestFit="1" customWidth="1"/>
    <col min="19" max="19" width="11.44140625" bestFit="1" customWidth="1"/>
    <col min="20" max="20" width="13.6640625" bestFit="1" customWidth="1"/>
    <col min="21" max="21" width="11" bestFit="1" customWidth="1"/>
  </cols>
  <sheetData>
    <row r="1" spans="1:10" ht="18.600000000000001" thickBot="1" x14ac:dyDescent="0.4">
      <c r="A1" s="110" t="s">
        <v>88</v>
      </c>
      <c r="B1" s="111"/>
      <c r="C1" s="111"/>
      <c r="D1" s="111"/>
      <c r="E1" s="111"/>
      <c r="F1" s="111"/>
      <c r="G1" s="111"/>
      <c r="H1" s="111"/>
      <c r="I1" s="111"/>
      <c r="J1" s="111"/>
    </row>
    <row r="2" spans="1:10" ht="15.6" thickTop="1" thickBot="1" x14ac:dyDescent="0.35">
      <c r="A2" s="4" t="s">
        <v>0</v>
      </c>
      <c r="B2" s="1" t="s">
        <v>1</v>
      </c>
      <c r="C2" s="1" t="s">
        <v>2</v>
      </c>
      <c r="D2" s="1" t="s">
        <v>3</v>
      </c>
      <c r="E2" s="1" t="s">
        <v>4</v>
      </c>
      <c r="F2" s="1" t="s">
        <v>5</v>
      </c>
      <c r="G2" s="1" t="s">
        <v>6</v>
      </c>
      <c r="H2" s="12" t="s">
        <v>7</v>
      </c>
      <c r="I2" s="1" t="s">
        <v>8</v>
      </c>
      <c r="J2" s="2" t="s">
        <v>9</v>
      </c>
    </row>
    <row r="3" spans="1:10" ht="15" hidden="1" thickBot="1" x14ac:dyDescent="0.35">
      <c r="A3" s="5">
        <v>1001</v>
      </c>
      <c r="B3" s="6">
        <v>46235</v>
      </c>
      <c r="C3" s="3" t="s">
        <v>10</v>
      </c>
      <c r="D3" s="3" t="s">
        <v>11</v>
      </c>
      <c r="E3" s="3" t="s">
        <v>12</v>
      </c>
      <c r="F3" s="3" t="s">
        <v>13</v>
      </c>
      <c r="G3" s="3">
        <v>2</v>
      </c>
      <c r="H3" s="13">
        <v>55000</v>
      </c>
      <c r="I3" s="3" t="s">
        <v>14</v>
      </c>
      <c r="J3" s="7" t="s">
        <v>15</v>
      </c>
    </row>
    <row r="4" spans="1:10" ht="15" hidden="1" thickBot="1" x14ac:dyDescent="0.35">
      <c r="A4" s="5">
        <v>1002</v>
      </c>
      <c r="B4" s="6">
        <v>46235</v>
      </c>
      <c r="C4" s="3" t="s">
        <v>16</v>
      </c>
      <c r="D4" s="3" t="s">
        <v>17</v>
      </c>
      <c r="E4" s="3" t="s">
        <v>18</v>
      </c>
      <c r="F4" s="3" t="s">
        <v>13</v>
      </c>
      <c r="G4" s="3">
        <v>3</v>
      </c>
      <c r="H4" s="13">
        <v>22000</v>
      </c>
      <c r="I4" s="3" t="s">
        <v>19</v>
      </c>
      <c r="J4" s="7" t="s">
        <v>20</v>
      </c>
    </row>
    <row r="5" spans="1:10" ht="15" thickBot="1" x14ac:dyDescent="0.35">
      <c r="A5" s="5">
        <v>1003</v>
      </c>
      <c r="B5" s="6">
        <v>46236</v>
      </c>
      <c r="C5" s="3" t="s">
        <v>21</v>
      </c>
      <c r="D5" s="3" t="s">
        <v>22</v>
      </c>
      <c r="E5" s="3" t="s">
        <v>23</v>
      </c>
      <c r="F5" s="3" t="s">
        <v>24</v>
      </c>
      <c r="G5" s="3">
        <v>5</v>
      </c>
      <c r="H5" s="13">
        <v>1200</v>
      </c>
      <c r="I5" s="3" t="s">
        <v>25</v>
      </c>
      <c r="J5" s="7" t="s">
        <v>26</v>
      </c>
    </row>
    <row r="6" spans="1:10" ht="15" thickBot="1" x14ac:dyDescent="0.35">
      <c r="A6" s="5">
        <v>1004</v>
      </c>
      <c r="B6" s="6">
        <v>46236</v>
      </c>
      <c r="C6" s="3" t="s">
        <v>27</v>
      </c>
      <c r="D6" s="3" t="s">
        <v>11</v>
      </c>
      <c r="E6" s="3" t="s">
        <v>28</v>
      </c>
      <c r="F6" s="3" t="s">
        <v>24</v>
      </c>
      <c r="G6" s="3">
        <v>4</v>
      </c>
      <c r="H6" s="13">
        <v>800</v>
      </c>
      <c r="I6" s="3" t="s">
        <v>14</v>
      </c>
      <c r="J6" s="7" t="s">
        <v>15</v>
      </c>
    </row>
    <row r="7" spans="1:10" ht="15" thickBot="1" x14ac:dyDescent="0.35">
      <c r="A7" s="5">
        <v>1005</v>
      </c>
      <c r="B7" s="6">
        <v>46237</v>
      </c>
      <c r="C7" s="3" t="s">
        <v>29</v>
      </c>
      <c r="D7" s="3" t="s">
        <v>30</v>
      </c>
      <c r="E7" s="3" t="s">
        <v>31</v>
      </c>
      <c r="F7" s="3" t="s">
        <v>24</v>
      </c>
      <c r="G7" s="3">
        <v>2</v>
      </c>
      <c r="H7" s="13">
        <v>2500</v>
      </c>
      <c r="I7" s="3" t="s">
        <v>19</v>
      </c>
      <c r="J7" s="7" t="s">
        <v>16</v>
      </c>
    </row>
    <row r="8" spans="1:10" ht="15" hidden="1" thickBot="1" x14ac:dyDescent="0.35">
      <c r="A8" s="5">
        <v>1006</v>
      </c>
      <c r="B8" s="6">
        <v>46237</v>
      </c>
      <c r="C8" s="3" t="s">
        <v>32</v>
      </c>
      <c r="D8" s="3" t="s">
        <v>22</v>
      </c>
      <c r="E8" s="3" t="s">
        <v>33</v>
      </c>
      <c r="F8" s="3" t="s">
        <v>13</v>
      </c>
      <c r="G8" s="3">
        <v>2</v>
      </c>
      <c r="H8" s="13">
        <v>15000</v>
      </c>
      <c r="I8" s="3" t="s">
        <v>14</v>
      </c>
      <c r="J8" s="7" t="s">
        <v>20</v>
      </c>
    </row>
    <row r="9" spans="1:10" ht="15" hidden="1" thickBot="1" x14ac:dyDescent="0.35">
      <c r="A9" s="5">
        <v>1007</v>
      </c>
      <c r="B9" s="6">
        <v>46238</v>
      </c>
      <c r="C9" s="3" t="s">
        <v>34</v>
      </c>
      <c r="D9" s="3" t="s">
        <v>17</v>
      </c>
      <c r="E9" s="3" t="s">
        <v>12</v>
      </c>
      <c r="F9" s="3" t="s">
        <v>13</v>
      </c>
      <c r="G9" s="3">
        <v>1</v>
      </c>
      <c r="H9" s="13">
        <v>62000</v>
      </c>
      <c r="I9" s="3" t="s">
        <v>19</v>
      </c>
      <c r="J9" s="7" t="s">
        <v>26</v>
      </c>
    </row>
    <row r="10" spans="1:10" ht="15" hidden="1" thickBot="1" x14ac:dyDescent="0.35">
      <c r="A10" s="5">
        <v>1008</v>
      </c>
      <c r="B10" s="6">
        <v>46238</v>
      </c>
      <c r="C10" s="3" t="s">
        <v>35</v>
      </c>
      <c r="D10" s="3" t="s">
        <v>11</v>
      </c>
      <c r="E10" s="3" t="s">
        <v>36</v>
      </c>
      <c r="F10" s="3" t="s">
        <v>13</v>
      </c>
      <c r="G10" s="3">
        <v>2</v>
      </c>
      <c r="H10" s="13">
        <v>9500</v>
      </c>
      <c r="I10" s="3" t="s">
        <v>25</v>
      </c>
      <c r="J10" s="7" t="s">
        <v>15</v>
      </c>
    </row>
    <row r="11" spans="1:10" ht="15" hidden="1" thickBot="1" x14ac:dyDescent="0.35">
      <c r="A11" s="5">
        <v>1009</v>
      </c>
      <c r="B11" s="6">
        <v>46239</v>
      </c>
      <c r="C11" s="3" t="s">
        <v>37</v>
      </c>
      <c r="D11" s="3" t="s">
        <v>38</v>
      </c>
      <c r="E11" s="3" t="s">
        <v>78</v>
      </c>
      <c r="F11" s="3" t="s">
        <v>13</v>
      </c>
      <c r="G11" s="3">
        <v>2</v>
      </c>
      <c r="H11" s="13">
        <v>18000</v>
      </c>
      <c r="I11" s="3" t="s">
        <v>14</v>
      </c>
      <c r="J11" s="7" t="s">
        <v>16</v>
      </c>
    </row>
    <row r="12" spans="1:10" ht="15" thickBot="1" x14ac:dyDescent="0.35">
      <c r="A12" s="5">
        <v>1010</v>
      </c>
      <c r="B12" s="6">
        <v>46239</v>
      </c>
      <c r="C12" s="3" t="s">
        <v>39</v>
      </c>
      <c r="D12" s="3" t="s">
        <v>30</v>
      </c>
      <c r="E12" s="3" t="s">
        <v>23</v>
      </c>
      <c r="F12" s="3" t="s">
        <v>24</v>
      </c>
      <c r="G12" s="3">
        <v>3</v>
      </c>
      <c r="H12" s="13">
        <v>1500</v>
      </c>
      <c r="I12" s="3" t="s">
        <v>19</v>
      </c>
      <c r="J12" s="7" t="s">
        <v>20</v>
      </c>
    </row>
    <row r="13" spans="1:10" ht="15" thickBot="1" x14ac:dyDescent="0.35">
      <c r="A13" s="5">
        <v>1011</v>
      </c>
      <c r="B13" s="6">
        <v>46240</v>
      </c>
      <c r="C13" s="3" t="s">
        <v>40</v>
      </c>
      <c r="D13" s="3" t="s">
        <v>11</v>
      </c>
      <c r="E13" s="3" t="s">
        <v>28</v>
      </c>
      <c r="F13" s="3" t="s">
        <v>24</v>
      </c>
      <c r="G13" s="3">
        <v>6</v>
      </c>
      <c r="H13" s="13">
        <v>700</v>
      </c>
      <c r="I13" s="3" t="s">
        <v>14</v>
      </c>
      <c r="J13" s="7" t="s">
        <v>26</v>
      </c>
    </row>
    <row r="14" spans="1:10" ht="15" hidden="1" thickBot="1" x14ac:dyDescent="0.35">
      <c r="A14" s="5">
        <v>1012</v>
      </c>
      <c r="B14" s="6">
        <v>46240</v>
      </c>
      <c r="C14" s="3" t="s">
        <v>41</v>
      </c>
      <c r="D14" s="3" t="s">
        <v>22</v>
      </c>
      <c r="E14" s="3" t="s">
        <v>12</v>
      </c>
      <c r="F14" s="3" t="s">
        <v>13</v>
      </c>
      <c r="G14" s="3">
        <v>1</v>
      </c>
      <c r="H14" s="13">
        <v>58000</v>
      </c>
      <c r="I14" s="3" t="s">
        <v>19</v>
      </c>
      <c r="J14" s="7" t="s">
        <v>15</v>
      </c>
    </row>
    <row r="15" spans="1:10" ht="15" hidden="1" thickBot="1" x14ac:dyDescent="0.35">
      <c r="A15" s="5">
        <v>1013</v>
      </c>
      <c r="B15" s="6">
        <v>46241</v>
      </c>
      <c r="C15" s="3" t="s">
        <v>42</v>
      </c>
      <c r="D15" s="3" t="s">
        <v>17</v>
      </c>
      <c r="E15" s="3" t="s">
        <v>33</v>
      </c>
      <c r="F15" s="3" t="s">
        <v>13</v>
      </c>
      <c r="G15" s="3">
        <v>3</v>
      </c>
      <c r="H15" s="13">
        <v>13500</v>
      </c>
      <c r="I15" s="3" t="s">
        <v>14</v>
      </c>
      <c r="J15" s="7" t="s">
        <v>16</v>
      </c>
    </row>
    <row r="16" spans="1:10" ht="15" thickBot="1" x14ac:dyDescent="0.35">
      <c r="A16" s="5">
        <v>1014</v>
      </c>
      <c r="B16" s="6">
        <v>46241</v>
      </c>
      <c r="C16" s="3" t="s">
        <v>43</v>
      </c>
      <c r="D16" s="3" t="s">
        <v>38</v>
      </c>
      <c r="E16" s="3" t="s">
        <v>31</v>
      </c>
      <c r="F16" s="3" t="s">
        <v>24</v>
      </c>
      <c r="G16" s="3">
        <v>4</v>
      </c>
      <c r="H16" s="13">
        <v>2200</v>
      </c>
      <c r="I16" s="3" t="s">
        <v>25</v>
      </c>
      <c r="J16" s="7" t="s">
        <v>20</v>
      </c>
    </row>
    <row r="17" spans="1:10" ht="15" hidden="1" thickBot="1" x14ac:dyDescent="0.35">
      <c r="A17" s="5">
        <v>1015</v>
      </c>
      <c r="B17" s="6">
        <v>46242</v>
      </c>
      <c r="C17" s="3" t="s">
        <v>44</v>
      </c>
      <c r="D17" s="3" t="s">
        <v>30</v>
      </c>
      <c r="E17" s="3" t="s">
        <v>36</v>
      </c>
      <c r="F17" s="3" t="s">
        <v>13</v>
      </c>
      <c r="G17" s="3">
        <v>1</v>
      </c>
      <c r="H17" s="13">
        <v>11000</v>
      </c>
      <c r="I17" s="3" t="s">
        <v>19</v>
      </c>
      <c r="J17" s="7" t="s">
        <v>26</v>
      </c>
    </row>
    <row r="18" spans="1:10" ht="15" hidden="1" thickBot="1" x14ac:dyDescent="0.35">
      <c r="A18" s="5">
        <v>1016</v>
      </c>
      <c r="B18" s="6">
        <v>46242</v>
      </c>
      <c r="C18" s="3" t="s">
        <v>45</v>
      </c>
      <c r="D18" s="3" t="s">
        <v>87</v>
      </c>
      <c r="E18" s="3" t="s">
        <v>18</v>
      </c>
      <c r="F18" s="3" t="s">
        <v>13</v>
      </c>
      <c r="G18" s="3">
        <v>3</v>
      </c>
      <c r="H18" s="13">
        <v>25000</v>
      </c>
      <c r="I18" s="3" t="s">
        <v>14</v>
      </c>
      <c r="J18" s="7" t="s">
        <v>15</v>
      </c>
    </row>
    <row r="19" spans="1:10" ht="15" thickBot="1" x14ac:dyDescent="0.35">
      <c r="A19" s="5">
        <v>1017</v>
      </c>
      <c r="B19" s="6">
        <v>46243</v>
      </c>
      <c r="C19" s="3" t="s">
        <v>46</v>
      </c>
      <c r="D19" s="3" t="s">
        <v>22</v>
      </c>
      <c r="E19" s="3" t="s">
        <v>23</v>
      </c>
      <c r="F19" s="3" t="s">
        <v>24</v>
      </c>
      <c r="G19" s="3">
        <v>5</v>
      </c>
      <c r="H19" s="13">
        <v>1300</v>
      </c>
      <c r="I19" s="3" t="s">
        <v>25</v>
      </c>
      <c r="J19" s="7" t="s">
        <v>16</v>
      </c>
    </row>
    <row r="20" spans="1:10" ht="15" thickBot="1" x14ac:dyDescent="0.35">
      <c r="A20" s="5">
        <v>1018</v>
      </c>
      <c r="B20" s="6">
        <v>46243</v>
      </c>
      <c r="C20" s="3" t="s">
        <v>47</v>
      </c>
      <c r="D20" s="3" t="s">
        <v>17</v>
      </c>
      <c r="E20" s="3" t="s">
        <v>28</v>
      </c>
      <c r="F20" s="3" t="s">
        <v>24</v>
      </c>
      <c r="G20" s="3">
        <v>8</v>
      </c>
      <c r="H20" s="13">
        <v>650</v>
      </c>
      <c r="I20" s="3" t="s">
        <v>19</v>
      </c>
      <c r="J20" s="7" t="s">
        <v>20</v>
      </c>
    </row>
    <row r="21" spans="1:10" ht="15" hidden="1" thickBot="1" x14ac:dyDescent="0.35">
      <c r="A21" s="5">
        <v>1019</v>
      </c>
      <c r="B21" s="6">
        <v>46244</v>
      </c>
      <c r="C21" s="3" t="s">
        <v>20</v>
      </c>
      <c r="D21" s="3" t="s">
        <v>38</v>
      </c>
      <c r="E21" s="3" t="s">
        <v>12</v>
      </c>
      <c r="F21" s="3" t="s">
        <v>13</v>
      </c>
      <c r="G21" s="3">
        <v>2</v>
      </c>
      <c r="H21" s="13">
        <v>60000</v>
      </c>
      <c r="I21" s="3" t="s">
        <v>14</v>
      </c>
      <c r="J21" s="7" t="s">
        <v>26</v>
      </c>
    </row>
    <row r="22" spans="1:10" ht="15" hidden="1" thickBot="1" x14ac:dyDescent="0.35">
      <c r="A22" s="5">
        <v>1020</v>
      </c>
      <c r="B22" s="6">
        <v>46244</v>
      </c>
      <c r="C22" s="3" t="s">
        <v>48</v>
      </c>
      <c r="D22" s="3" t="s">
        <v>30</v>
      </c>
      <c r="E22" s="3" t="s">
        <v>33</v>
      </c>
      <c r="F22" s="3" t="s">
        <v>13</v>
      </c>
      <c r="G22" s="3">
        <v>1</v>
      </c>
      <c r="H22" s="13">
        <v>16000</v>
      </c>
      <c r="I22" s="3" t="s">
        <v>19</v>
      </c>
      <c r="J22" s="7" t="s">
        <v>15</v>
      </c>
    </row>
    <row r="23" spans="1:10" ht="15" hidden="1" thickBot="1" x14ac:dyDescent="0.35">
      <c r="A23" s="5">
        <v>1021</v>
      </c>
      <c r="B23" s="6">
        <v>46245</v>
      </c>
      <c r="C23" s="3" t="s">
        <v>49</v>
      </c>
      <c r="D23" s="3" t="s">
        <v>11</v>
      </c>
      <c r="E23" s="3" t="s">
        <v>36</v>
      </c>
      <c r="F23" s="3" t="s">
        <v>13</v>
      </c>
      <c r="G23" s="3">
        <v>2</v>
      </c>
      <c r="H23" s="13">
        <v>9000</v>
      </c>
      <c r="I23" s="3" t="s">
        <v>14</v>
      </c>
      <c r="J23" s="7" t="s">
        <v>16</v>
      </c>
    </row>
    <row r="24" spans="1:10" ht="15" thickBot="1" x14ac:dyDescent="0.35">
      <c r="A24" s="5">
        <v>1022</v>
      </c>
      <c r="B24" s="6">
        <v>46245</v>
      </c>
      <c r="C24" s="3" t="s">
        <v>50</v>
      </c>
      <c r="D24" s="3" t="s">
        <v>22</v>
      </c>
      <c r="E24" s="3" t="s">
        <v>31</v>
      </c>
      <c r="F24" s="3" t="s">
        <v>24</v>
      </c>
      <c r="G24" s="3">
        <v>3</v>
      </c>
      <c r="H24" s="13">
        <v>2800</v>
      </c>
      <c r="I24" s="3" t="s">
        <v>25</v>
      </c>
      <c r="J24" s="7" t="s">
        <v>20</v>
      </c>
    </row>
    <row r="25" spans="1:10" ht="15" hidden="1" thickBot="1" x14ac:dyDescent="0.35">
      <c r="A25" s="5">
        <v>1023</v>
      </c>
      <c r="B25" s="6">
        <v>46246</v>
      </c>
      <c r="C25" s="3" t="s">
        <v>51</v>
      </c>
      <c r="D25" s="3" t="s">
        <v>17</v>
      </c>
      <c r="E25" s="3" t="s">
        <v>18</v>
      </c>
      <c r="F25" s="3" t="s">
        <v>13</v>
      </c>
      <c r="G25" s="3">
        <v>2</v>
      </c>
      <c r="H25" s="13">
        <v>21000</v>
      </c>
      <c r="I25" s="3" t="s">
        <v>19</v>
      </c>
      <c r="J25" s="7" t="s">
        <v>26</v>
      </c>
    </row>
    <row r="26" spans="1:10" ht="15" thickBot="1" x14ac:dyDescent="0.35">
      <c r="A26" s="5">
        <v>1024</v>
      </c>
      <c r="B26" s="6">
        <v>46246</v>
      </c>
      <c r="C26" s="3" t="s">
        <v>52</v>
      </c>
      <c r="D26" s="3" t="s">
        <v>38</v>
      </c>
      <c r="E26" s="3" t="s">
        <v>23</v>
      </c>
      <c r="F26" s="3" t="s">
        <v>24</v>
      </c>
      <c r="G26" s="3">
        <v>4</v>
      </c>
      <c r="H26" s="13">
        <v>1400</v>
      </c>
      <c r="I26" s="3" t="s">
        <v>14</v>
      </c>
      <c r="J26" s="7" t="s">
        <v>15</v>
      </c>
    </row>
    <row r="27" spans="1:10" ht="15" thickBot="1" x14ac:dyDescent="0.35">
      <c r="A27" s="5">
        <v>1025</v>
      </c>
      <c r="B27" s="6">
        <v>46247</v>
      </c>
      <c r="C27" s="3" t="s">
        <v>53</v>
      </c>
      <c r="D27" s="3" t="s">
        <v>30</v>
      </c>
      <c r="E27" s="3" t="s">
        <v>28</v>
      </c>
      <c r="F27" s="3" t="s">
        <v>24</v>
      </c>
      <c r="G27" s="3">
        <v>5</v>
      </c>
      <c r="H27" s="13">
        <v>750</v>
      </c>
      <c r="I27" s="3" t="s">
        <v>25</v>
      </c>
      <c r="J27" s="7" t="s">
        <v>16</v>
      </c>
    </row>
    <row r="28" spans="1:10" ht="15" hidden="1" thickBot="1" x14ac:dyDescent="0.35">
      <c r="A28" s="5">
        <v>1026</v>
      </c>
      <c r="B28" s="6">
        <v>46247</v>
      </c>
      <c r="C28" s="3" t="s">
        <v>54</v>
      </c>
      <c r="D28" s="3" t="s">
        <v>11</v>
      </c>
      <c r="E28" s="3" t="s">
        <v>12</v>
      </c>
      <c r="F28" s="3" t="s">
        <v>13</v>
      </c>
      <c r="G28" s="3">
        <v>1</v>
      </c>
      <c r="H28" s="13">
        <v>65000</v>
      </c>
      <c r="I28" s="3" t="s">
        <v>19</v>
      </c>
      <c r="J28" s="7" t="s">
        <v>20</v>
      </c>
    </row>
    <row r="29" spans="1:10" ht="15" hidden="1" thickBot="1" x14ac:dyDescent="0.35">
      <c r="A29" s="5">
        <v>1027</v>
      </c>
      <c r="B29" s="6">
        <v>46248</v>
      </c>
      <c r="C29" s="3" t="s">
        <v>55</v>
      </c>
      <c r="D29" s="3" t="s">
        <v>22</v>
      </c>
      <c r="E29" s="3" t="s">
        <v>33</v>
      </c>
      <c r="F29" s="3" t="s">
        <v>13</v>
      </c>
      <c r="G29" s="3">
        <v>2</v>
      </c>
      <c r="H29" s="13">
        <v>14500</v>
      </c>
      <c r="I29" s="3" t="s">
        <v>14</v>
      </c>
      <c r="J29" s="7" t="s">
        <v>26</v>
      </c>
    </row>
    <row r="30" spans="1:10" ht="15" hidden="1" thickBot="1" x14ac:dyDescent="0.35">
      <c r="A30" s="5">
        <v>1028</v>
      </c>
      <c r="B30" s="6">
        <v>46248</v>
      </c>
      <c r="C30" s="3" t="s">
        <v>56</v>
      </c>
      <c r="D30" s="3" t="s">
        <v>17</v>
      </c>
      <c r="E30" s="3" t="s">
        <v>36</v>
      </c>
      <c r="F30" s="3" t="s">
        <v>13</v>
      </c>
      <c r="G30" s="3">
        <v>3</v>
      </c>
      <c r="H30" s="13">
        <v>8500</v>
      </c>
      <c r="I30" s="3" t="s">
        <v>19</v>
      </c>
      <c r="J30" s="7" t="s">
        <v>15</v>
      </c>
    </row>
    <row r="31" spans="1:10" ht="15" hidden="1" thickBot="1" x14ac:dyDescent="0.35">
      <c r="A31" s="5">
        <v>1029</v>
      </c>
      <c r="B31" s="6">
        <v>46249</v>
      </c>
      <c r="C31" s="3" t="s">
        <v>57</v>
      </c>
      <c r="D31" s="3" t="s">
        <v>38</v>
      </c>
      <c r="E31" s="3" t="s">
        <v>18</v>
      </c>
      <c r="F31" s="3" t="s">
        <v>13</v>
      </c>
      <c r="G31" s="3">
        <v>1</v>
      </c>
      <c r="H31" s="13">
        <v>23000</v>
      </c>
      <c r="I31" s="3" t="s">
        <v>25</v>
      </c>
      <c r="J31" s="7" t="s">
        <v>16</v>
      </c>
    </row>
    <row r="32" spans="1:10" ht="15" thickBot="1" x14ac:dyDescent="0.35">
      <c r="A32" s="5">
        <v>1030</v>
      </c>
      <c r="B32" s="6">
        <v>46249</v>
      </c>
      <c r="C32" s="3" t="s">
        <v>58</v>
      </c>
      <c r="D32" s="3" t="s">
        <v>30</v>
      </c>
      <c r="E32" s="3" t="s">
        <v>31</v>
      </c>
      <c r="F32" s="3" t="s">
        <v>24</v>
      </c>
      <c r="G32" s="3">
        <v>2</v>
      </c>
      <c r="H32" s="13">
        <v>3000</v>
      </c>
      <c r="I32" s="3" t="s">
        <v>14</v>
      </c>
      <c r="J32" s="7" t="s">
        <v>20</v>
      </c>
    </row>
    <row r="33" spans="1:10" ht="15" thickBot="1" x14ac:dyDescent="0.35">
      <c r="A33" s="5">
        <v>1031</v>
      </c>
      <c r="B33" s="6">
        <v>46250</v>
      </c>
      <c r="C33" s="3" t="s">
        <v>59</v>
      </c>
      <c r="D33" s="3" t="s">
        <v>11</v>
      </c>
      <c r="E33" s="3" t="s">
        <v>23</v>
      </c>
      <c r="F33" s="3" t="s">
        <v>24</v>
      </c>
      <c r="G33" s="3">
        <v>7</v>
      </c>
      <c r="H33" s="13">
        <v>1100</v>
      </c>
      <c r="I33" s="3" t="s">
        <v>19</v>
      </c>
      <c r="J33" s="7" t="s">
        <v>26</v>
      </c>
    </row>
    <row r="34" spans="1:10" ht="15" thickBot="1" x14ac:dyDescent="0.35">
      <c r="A34" s="5">
        <v>1032</v>
      </c>
      <c r="B34" s="6">
        <v>46250</v>
      </c>
      <c r="C34" s="3" t="s">
        <v>60</v>
      </c>
      <c r="D34" s="3" t="s">
        <v>22</v>
      </c>
      <c r="E34" s="3" t="s">
        <v>28</v>
      </c>
      <c r="F34" s="3" t="s">
        <v>24</v>
      </c>
      <c r="G34" s="3">
        <v>4</v>
      </c>
      <c r="H34" s="13">
        <v>900</v>
      </c>
      <c r="I34" s="3" t="s">
        <v>14</v>
      </c>
      <c r="J34" s="7" t="s">
        <v>15</v>
      </c>
    </row>
    <row r="35" spans="1:10" ht="15" hidden="1" thickBot="1" x14ac:dyDescent="0.35">
      <c r="A35" s="5">
        <v>1033</v>
      </c>
      <c r="B35" s="6">
        <v>46251</v>
      </c>
      <c r="C35" s="3" t="s">
        <v>61</v>
      </c>
      <c r="D35" s="3" t="s">
        <v>17</v>
      </c>
      <c r="E35" s="3" t="s">
        <v>12</v>
      </c>
      <c r="F35" s="3" t="s">
        <v>13</v>
      </c>
      <c r="G35" s="3">
        <v>2</v>
      </c>
      <c r="H35" s="13">
        <v>57000</v>
      </c>
      <c r="I35" s="3" t="s">
        <v>19</v>
      </c>
      <c r="J35" s="7" t="s">
        <v>16</v>
      </c>
    </row>
    <row r="36" spans="1:10" ht="15" hidden="1" thickBot="1" x14ac:dyDescent="0.35">
      <c r="A36" s="5">
        <v>1034</v>
      </c>
      <c r="B36" s="6">
        <v>46251</v>
      </c>
      <c r="C36" s="3" t="s">
        <v>62</v>
      </c>
      <c r="D36" s="3" t="s">
        <v>38</v>
      </c>
      <c r="E36" s="3" t="s">
        <v>33</v>
      </c>
      <c r="F36" s="3" t="s">
        <v>13</v>
      </c>
      <c r="G36" s="3">
        <v>1</v>
      </c>
      <c r="H36" s="13">
        <v>15500</v>
      </c>
      <c r="I36" s="3" t="s">
        <v>25</v>
      </c>
      <c r="J36" s="7" t="s">
        <v>20</v>
      </c>
    </row>
    <row r="37" spans="1:10" ht="15" hidden="1" thickBot="1" x14ac:dyDescent="0.35">
      <c r="A37" s="5">
        <v>1035</v>
      </c>
      <c r="B37" s="6">
        <v>46252</v>
      </c>
      <c r="C37" s="3" t="s">
        <v>63</v>
      </c>
      <c r="D37" s="3" t="s">
        <v>30</v>
      </c>
      <c r="E37" s="3" t="s">
        <v>36</v>
      </c>
      <c r="F37" s="3" t="s">
        <v>13</v>
      </c>
      <c r="G37" s="3">
        <v>2</v>
      </c>
      <c r="H37" s="13">
        <v>10000</v>
      </c>
      <c r="I37" s="3" t="s">
        <v>14</v>
      </c>
      <c r="J37" s="7" t="s">
        <v>26</v>
      </c>
    </row>
    <row r="38" spans="1:10" ht="15" hidden="1" thickBot="1" x14ac:dyDescent="0.35">
      <c r="A38" s="5">
        <v>1036</v>
      </c>
      <c r="B38" s="6">
        <v>46252</v>
      </c>
      <c r="C38" s="3" t="s">
        <v>64</v>
      </c>
      <c r="D38" s="3" t="s">
        <v>11</v>
      </c>
      <c r="E38" s="3" t="s">
        <v>18</v>
      </c>
      <c r="F38" s="3" t="s">
        <v>13</v>
      </c>
      <c r="G38" s="3">
        <v>4</v>
      </c>
      <c r="H38" s="13">
        <v>19500</v>
      </c>
      <c r="I38" s="3" t="s">
        <v>19</v>
      </c>
      <c r="J38" s="7" t="s">
        <v>15</v>
      </c>
    </row>
    <row r="39" spans="1:10" ht="15" thickBot="1" x14ac:dyDescent="0.35">
      <c r="A39" s="5">
        <v>1037</v>
      </c>
      <c r="B39" s="6">
        <v>46253</v>
      </c>
      <c r="C39" s="3" t="s">
        <v>65</v>
      </c>
      <c r="D39" s="3" t="s">
        <v>22</v>
      </c>
      <c r="E39" s="3" t="s">
        <v>23</v>
      </c>
      <c r="F39" s="3" t="s">
        <v>24</v>
      </c>
      <c r="G39" s="3">
        <v>3</v>
      </c>
      <c r="H39" s="13">
        <v>1600</v>
      </c>
      <c r="I39" s="3" t="s">
        <v>14</v>
      </c>
      <c r="J39" s="7" t="s">
        <v>16</v>
      </c>
    </row>
    <row r="40" spans="1:10" ht="15" thickBot="1" x14ac:dyDescent="0.35">
      <c r="A40" s="5">
        <v>1038</v>
      </c>
      <c r="B40" s="6">
        <v>46253</v>
      </c>
      <c r="C40" s="3" t="s">
        <v>66</v>
      </c>
      <c r="D40" s="3" t="s">
        <v>17</v>
      </c>
      <c r="E40" s="3" t="s">
        <v>28</v>
      </c>
      <c r="F40" s="3" t="s">
        <v>24</v>
      </c>
      <c r="G40" s="3">
        <v>6</v>
      </c>
      <c r="H40" s="13">
        <v>850</v>
      </c>
      <c r="I40" s="3" t="s">
        <v>25</v>
      </c>
      <c r="J40" s="7" t="s">
        <v>20</v>
      </c>
    </row>
    <row r="41" spans="1:10" ht="15" hidden="1" thickBot="1" x14ac:dyDescent="0.35">
      <c r="A41" s="5">
        <v>1039</v>
      </c>
      <c r="B41" s="6">
        <v>46254</v>
      </c>
      <c r="C41" s="3" t="s">
        <v>67</v>
      </c>
      <c r="D41" s="3" t="s">
        <v>38</v>
      </c>
      <c r="E41" s="3" t="s">
        <v>12</v>
      </c>
      <c r="F41" s="3" t="s">
        <v>13</v>
      </c>
      <c r="G41" s="3">
        <v>1</v>
      </c>
      <c r="H41" s="13">
        <v>61000</v>
      </c>
      <c r="I41" s="3" t="s">
        <v>19</v>
      </c>
      <c r="J41" s="7" t="s">
        <v>26</v>
      </c>
    </row>
    <row r="42" spans="1:10" ht="15" hidden="1" thickBot="1" x14ac:dyDescent="0.35">
      <c r="A42" s="5">
        <v>1040</v>
      </c>
      <c r="B42" s="6">
        <v>46254</v>
      </c>
      <c r="C42" s="3" t="s">
        <v>68</v>
      </c>
      <c r="D42" s="3" t="s">
        <v>30</v>
      </c>
      <c r="E42" s="3" t="s">
        <v>33</v>
      </c>
      <c r="F42" s="3" t="s">
        <v>13</v>
      </c>
      <c r="G42" s="3">
        <v>2</v>
      </c>
      <c r="H42" s="13">
        <v>12500</v>
      </c>
      <c r="I42" s="3" t="s">
        <v>14</v>
      </c>
      <c r="J42" s="7" t="s">
        <v>15</v>
      </c>
    </row>
    <row r="43" spans="1:10" ht="15" hidden="1" thickBot="1" x14ac:dyDescent="0.35">
      <c r="A43" s="5">
        <v>1041</v>
      </c>
      <c r="B43" s="6">
        <v>46255</v>
      </c>
      <c r="C43" s="3" t="s">
        <v>26</v>
      </c>
      <c r="D43" s="3" t="s">
        <v>11</v>
      </c>
      <c r="E43" s="3" t="s">
        <v>36</v>
      </c>
      <c r="F43" s="3" t="s">
        <v>13</v>
      </c>
      <c r="G43" s="3">
        <v>1</v>
      </c>
      <c r="H43" s="13">
        <v>9500</v>
      </c>
      <c r="I43" s="3" t="s">
        <v>19</v>
      </c>
      <c r="J43" s="7" t="s">
        <v>16</v>
      </c>
    </row>
    <row r="44" spans="1:10" ht="15" thickBot="1" x14ac:dyDescent="0.35">
      <c r="A44" s="5">
        <v>1042</v>
      </c>
      <c r="B44" s="6">
        <v>46255</v>
      </c>
      <c r="C44" s="3" t="s">
        <v>69</v>
      </c>
      <c r="D44" s="3" t="s">
        <v>22</v>
      </c>
      <c r="E44" s="3" t="s">
        <v>31</v>
      </c>
      <c r="F44" s="3" t="s">
        <v>24</v>
      </c>
      <c r="G44" s="3">
        <v>5</v>
      </c>
      <c r="H44" s="13">
        <v>2400</v>
      </c>
      <c r="I44" s="3" t="s">
        <v>25</v>
      </c>
      <c r="J44" s="7" t="s">
        <v>20</v>
      </c>
    </row>
    <row r="45" spans="1:10" ht="15" hidden="1" thickBot="1" x14ac:dyDescent="0.35">
      <c r="A45" s="5">
        <v>1043</v>
      </c>
      <c r="B45" s="6">
        <v>46256</v>
      </c>
      <c r="C45" s="3" t="s">
        <v>70</v>
      </c>
      <c r="D45" s="3" t="s">
        <v>17</v>
      </c>
      <c r="E45" s="3" t="s">
        <v>18</v>
      </c>
      <c r="F45" s="3" t="s">
        <v>13</v>
      </c>
      <c r="G45" s="3">
        <v>2</v>
      </c>
      <c r="H45" s="13">
        <v>26000</v>
      </c>
      <c r="I45" s="3" t="s">
        <v>14</v>
      </c>
      <c r="J45" s="7" t="s">
        <v>26</v>
      </c>
    </row>
    <row r="46" spans="1:10" ht="15" thickBot="1" x14ac:dyDescent="0.35">
      <c r="A46" s="5">
        <v>1044</v>
      </c>
      <c r="B46" s="6">
        <v>46256</v>
      </c>
      <c r="C46" s="3" t="s">
        <v>71</v>
      </c>
      <c r="D46" s="3" t="s">
        <v>38</v>
      </c>
      <c r="E46" s="3" t="s">
        <v>23</v>
      </c>
      <c r="F46" s="3" t="s">
        <v>24</v>
      </c>
      <c r="G46" s="3">
        <v>4</v>
      </c>
      <c r="H46" s="13">
        <v>1250</v>
      </c>
      <c r="I46" s="3" t="s">
        <v>19</v>
      </c>
      <c r="J46" s="7" t="s">
        <v>15</v>
      </c>
    </row>
    <row r="47" spans="1:10" ht="15" thickBot="1" x14ac:dyDescent="0.35">
      <c r="A47" s="5">
        <v>1045</v>
      </c>
      <c r="B47" s="6">
        <v>46257</v>
      </c>
      <c r="C47" s="3" t="s">
        <v>72</v>
      </c>
      <c r="D47" s="3" t="s">
        <v>30</v>
      </c>
      <c r="E47" s="3" t="s">
        <v>28</v>
      </c>
      <c r="F47" s="3" t="s">
        <v>24</v>
      </c>
      <c r="G47" s="3">
        <v>3</v>
      </c>
      <c r="H47" s="13">
        <v>950</v>
      </c>
      <c r="I47" s="3" t="s">
        <v>14</v>
      </c>
      <c r="J47" s="7" t="s">
        <v>16</v>
      </c>
    </row>
    <row r="48" spans="1:10" ht="15" hidden="1" thickBot="1" x14ac:dyDescent="0.35">
      <c r="A48" s="5">
        <v>1046</v>
      </c>
      <c r="B48" s="6">
        <v>46257</v>
      </c>
      <c r="C48" s="3" t="s">
        <v>73</v>
      </c>
      <c r="D48" s="3" t="s">
        <v>11</v>
      </c>
      <c r="E48" s="3" t="s">
        <v>12</v>
      </c>
      <c r="F48" s="3" t="s">
        <v>13</v>
      </c>
      <c r="G48" s="3">
        <v>2</v>
      </c>
      <c r="H48" s="13">
        <v>59000</v>
      </c>
      <c r="I48" s="3" t="s">
        <v>25</v>
      </c>
      <c r="J48" s="7" t="s">
        <v>20</v>
      </c>
    </row>
    <row r="49" spans="1:10" ht="15" hidden="1" thickBot="1" x14ac:dyDescent="0.35">
      <c r="A49" s="5">
        <v>1047</v>
      </c>
      <c r="B49" s="6">
        <v>46258</v>
      </c>
      <c r="C49" s="3" t="s">
        <v>74</v>
      </c>
      <c r="D49" s="3" t="s">
        <v>22</v>
      </c>
      <c r="E49" s="3" t="s">
        <v>33</v>
      </c>
      <c r="F49" s="3" t="s">
        <v>13</v>
      </c>
      <c r="G49" s="3">
        <v>3</v>
      </c>
      <c r="H49" s="13">
        <v>14000</v>
      </c>
      <c r="I49" s="3" t="s">
        <v>19</v>
      </c>
      <c r="J49" s="7" t="s">
        <v>26</v>
      </c>
    </row>
    <row r="50" spans="1:10" ht="15" hidden="1" thickBot="1" x14ac:dyDescent="0.35">
      <c r="A50" s="5">
        <v>1048</v>
      </c>
      <c r="B50" s="6">
        <v>46258</v>
      </c>
      <c r="C50" s="3" t="s">
        <v>75</v>
      </c>
      <c r="D50" s="3" t="s">
        <v>17</v>
      </c>
      <c r="E50" s="3" t="s">
        <v>36</v>
      </c>
      <c r="F50" s="3" t="s">
        <v>13</v>
      </c>
      <c r="G50" s="3">
        <v>2</v>
      </c>
      <c r="H50" s="13">
        <v>9200</v>
      </c>
      <c r="I50" s="3" t="s">
        <v>14</v>
      </c>
      <c r="J50" s="7" t="s">
        <v>15</v>
      </c>
    </row>
    <row r="51" spans="1:10" ht="15" hidden="1" thickBot="1" x14ac:dyDescent="0.35">
      <c r="A51" s="5">
        <v>1049</v>
      </c>
      <c r="B51" s="6">
        <v>46259</v>
      </c>
      <c r="C51" s="3" t="s">
        <v>76</v>
      </c>
      <c r="D51" s="3" t="s">
        <v>38</v>
      </c>
      <c r="E51" s="3" t="s">
        <v>18</v>
      </c>
      <c r="F51" s="3" t="s">
        <v>13</v>
      </c>
      <c r="G51" s="3">
        <v>3</v>
      </c>
      <c r="H51" s="13">
        <v>20000</v>
      </c>
      <c r="I51" s="3" t="s">
        <v>19</v>
      </c>
      <c r="J51" s="7" t="s">
        <v>16</v>
      </c>
    </row>
    <row r="52" spans="1:10" ht="15" thickBot="1" x14ac:dyDescent="0.35">
      <c r="A52" s="8">
        <v>1050</v>
      </c>
      <c r="B52" s="9">
        <v>46259</v>
      </c>
      <c r="C52" s="10" t="s">
        <v>77</v>
      </c>
      <c r="D52" s="10" t="s">
        <v>30</v>
      </c>
      <c r="E52" s="10" t="s">
        <v>31</v>
      </c>
      <c r="F52" s="10" t="s">
        <v>24</v>
      </c>
      <c r="G52" s="10">
        <v>4</v>
      </c>
      <c r="H52" s="14">
        <v>2700</v>
      </c>
      <c r="I52" s="10" t="s">
        <v>25</v>
      </c>
      <c r="J52" s="11" t="s">
        <v>20</v>
      </c>
    </row>
    <row r="53" spans="1:10" ht="15" thickTop="1" x14ac:dyDescent="0.3"/>
  </sheetData>
  <autoFilter ref="A2:J52" xr:uid="{F2AB533E-18A7-40D7-AAA9-B8DBAF09F5A4}">
    <filterColumn colId="5">
      <filters>
        <filter val="Accessories"/>
      </filters>
    </filterColumn>
  </autoFilter>
  <mergeCells count="1">
    <mergeCell ref="A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2BD71-4100-43A9-BC51-5EFA9C3E474B}">
  <dimension ref="A1:K52"/>
  <sheetViews>
    <sheetView workbookViewId="0">
      <selection activeCell="J43" sqref="J43"/>
    </sheetView>
  </sheetViews>
  <sheetFormatPr defaultRowHeight="14.4" x14ac:dyDescent="0.3"/>
  <cols>
    <col min="1" max="1" width="9.44140625" customWidth="1"/>
    <col min="2" max="2" width="10.33203125" bestFit="1" customWidth="1"/>
    <col min="3" max="3" width="11" customWidth="1"/>
    <col min="4" max="4" width="8.21875" bestFit="1" customWidth="1"/>
    <col min="5" max="5" width="11.109375" bestFit="1" customWidth="1"/>
    <col min="6" max="6" width="10.44140625" bestFit="1" customWidth="1"/>
    <col min="7" max="7" width="10.21875" customWidth="1"/>
    <col min="8" max="8" width="11.44140625" bestFit="1" customWidth="1"/>
    <col min="9" max="9" width="15.44140625" customWidth="1"/>
    <col min="10" max="10" width="12.88671875" customWidth="1"/>
    <col min="11" max="11" width="11.88671875" bestFit="1" customWidth="1"/>
  </cols>
  <sheetData>
    <row r="1" spans="1:11" ht="18.600000000000001" thickBot="1" x14ac:dyDescent="0.35">
      <c r="A1" s="112" t="s">
        <v>89</v>
      </c>
      <c r="B1" s="113"/>
      <c r="C1" s="113"/>
      <c r="D1" s="113"/>
      <c r="E1" s="113"/>
      <c r="F1" s="113"/>
      <c r="G1" s="113"/>
      <c r="H1" s="113"/>
      <c r="I1" s="113"/>
      <c r="J1" s="113"/>
      <c r="K1" s="37"/>
    </row>
    <row r="2" spans="1:11" ht="15.6" thickTop="1" thickBot="1" x14ac:dyDescent="0.35">
      <c r="A2" s="30" t="s">
        <v>0</v>
      </c>
      <c r="B2" s="31" t="s">
        <v>1</v>
      </c>
      <c r="C2" s="31" t="s">
        <v>2</v>
      </c>
      <c r="D2" s="31" t="s">
        <v>3</v>
      </c>
      <c r="E2" s="31" t="s">
        <v>4</v>
      </c>
      <c r="F2" s="31" t="s">
        <v>5</v>
      </c>
      <c r="G2" s="31" t="s">
        <v>6</v>
      </c>
      <c r="H2" s="32" t="s">
        <v>7</v>
      </c>
      <c r="I2" s="31" t="s">
        <v>8</v>
      </c>
      <c r="J2" s="33" t="s">
        <v>9</v>
      </c>
      <c r="K2" s="31" t="s">
        <v>90</v>
      </c>
    </row>
    <row r="3" spans="1:11" ht="15" thickBot="1" x14ac:dyDescent="0.35">
      <c r="A3" s="28">
        <v>1001</v>
      </c>
      <c r="B3" s="6">
        <v>46235</v>
      </c>
      <c r="C3" s="3" t="s">
        <v>10</v>
      </c>
      <c r="D3" s="3" t="s">
        <v>11</v>
      </c>
      <c r="E3" s="3" t="s">
        <v>12</v>
      </c>
      <c r="F3" s="3" t="s">
        <v>13</v>
      </c>
      <c r="G3" s="3">
        <v>2</v>
      </c>
      <c r="H3" s="13">
        <v>55000</v>
      </c>
      <c r="I3" s="3" t="s">
        <v>14</v>
      </c>
      <c r="J3" s="29" t="s">
        <v>15</v>
      </c>
      <c r="K3" s="36">
        <f>Table2[[#This Row],[Quantity]]*Table2[[#This Row],[UnitPrice]]</f>
        <v>110000</v>
      </c>
    </row>
    <row r="4" spans="1:11" ht="15" thickBot="1" x14ac:dyDescent="0.35">
      <c r="A4" s="28">
        <v>1002</v>
      </c>
      <c r="B4" s="6">
        <v>46235</v>
      </c>
      <c r="C4" s="3" t="s">
        <v>16</v>
      </c>
      <c r="D4" s="3" t="s">
        <v>17</v>
      </c>
      <c r="E4" s="3" t="s">
        <v>18</v>
      </c>
      <c r="F4" s="3" t="s">
        <v>13</v>
      </c>
      <c r="G4" s="3">
        <v>3</v>
      </c>
      <c r="H4" s="13">
        <v>22000</v>
      </c>
      <c r="I4" s="3" t="s">
        <v>19</v>
      </c>
      <c r="J4" s="29" t="s">
        <v>20</v>
      </c>
      <c r="K4" s="36">
        <f>Table2[[#This Row],[Quantity]]*Table2[[#This Row],[UnitPrice]]</f>
        <v>66000</v>
      </c>
    </row>
    <row r="5" spans="1:11" ht="15" hidden="1" thickBot="1" x14ac:dyDescent="0.35">
      <c r="A5" s="28">
        <v>1003</v>
      </c>
      <c r="B5" s="6">
        <v>46236</v>
      </c>
      <c r="C5" s="3" t="s">
        <v>21</v>
      </c>
      <c r="D5" s="3" t="s">
        <v>22</v>
      </c>
      <c r="E5" s="3" t="s">
        <v>23</v>
      </c>
      <c r="F5" s="3" t="s">
        <v>24</v>
      </c>
      <c r="G5" s="3">
        <v>5</v>
      </c>
      <c r="H5" s="13">
        <v>1200</v>
      </c>
      <c r="I5" s="3" t="s">
        <v>25</v>
      </c>
      <c r="J5" s="29" t="s">
        <v>26</v>
      </c>
      <c r="K5" s="3"/>
    </row>
    <row r="6" spans="1:11" ht="15" hidden="1" thickBot="1" x14ac:dyDescent="0.35">
      <c r="A6" s="28">
        <v>1004</v>
      </c>
      <c r="B6" s="6">
        <v>46236</v>
      </c>
      <c r="C6" s="3" t="s">
        <v>27</v>
      </c>
      <c r="D6" s="3" t="s">
        <v>11</v>
      </c>
      <c r="E6" s="3" t="s">
        <v>28</v>
      </c>
      <c r="F6" s="3" t="s">
        <v>24</v>
      </c>
      <c r="G6" s="3">
        <v>4</v>
      </c>
      <c r="H6" s="13">
        <v>800</v>
      </c>
      <c r="I6" s="3" t="s">
        <v>14</v>
      </c>
      <c r="J6" s="29" t="s">
        <v>15</v>
      </c>
      <c r="K6" s="3"/>
    </row>
    <row r="7" spans="1:11" ht="15" hidden="1" thickBot="1" x14ac:dyDescent="0.35">
      <c r="A7" s="28">
        <v>1005</v>
      </c>
      <c r="B7" s="6">
        <v>46237</v>
      </c>
      <c r="C7" s="3" t="s">
        <v>29</v>
      </c>
      <c r="D7" s="3" t="s">
        <v>30</v>
      </c>
      <c r="E7" s="3" t="s">
        <v>31</v>
      </c>
      <c r="F7" s="3" t="s">
        <v>24</v>
      </c>
      <c r="G7" s="3">
        <v>2</v>
      </c>
      <c r="H7" s="13">
        <v>2500</v>
      </c>
      <c r="I7" s="3" t="s">
        <v>19</v>
      </c>
      <c r="J7" s="29" t="s">
        <v>16</v>
      </c>
      <c r="K7" s="3"/>
    </row>
    <row r="8" spans="1:11" ht="15" thickBot="1" x14ac:dyDescent="0.35">
      <c r="A8" s="28">
        <v>1006</v>
      </c>
      <c r="B8" s="6">
        <v>46237</v>
      </c>
      <c r="C8" s="3" t="s">
        <v>32</v>
      </c>
      <c r="D8" s="3" t="s">
        <v>22</v>
      </c>
      <c r="E8" s="3" t="s">
        <v>33</v>
      </c>
      <c r="F8" s="3" t="s">
        <v>13</v>
      </c>
      <c r="G8" s="3">
        <v>2</v>
      </c>
      <c r="H8" s="13">
        <v>15000</v>
      </c>
      <c r="I8" s="3" t="s">
        <v>14</v>
      </c>
      <c r="J8" s="29" t="s">
        <v>20</v>
      </c>
      <c r="K8" s="36">
        <f>Table2[[#This Row],[Quantity]]*Table2[[#This Row],[UnitPrice]]</f>
        <v>30000</v>
      </c>
    </row>
    <row r="9" spans="1:11" ht="15" thickBot="1" x14ac:dyDescent="0.35">
      <c r="A9" s="28">
        <v>1007</v>
      </c>
      <c r="B9" s="6">
        <v>46238</v>
      </c>
      <c r="C9" s="3" t="s">
        <v>34</v>
      </c>
      <c r="D9" s="3" t="s">
        <v>17</v>
      </c>
      <c r="E9" s="3" t="s">
        <v>12</v>
      </c>
      <c r="F9" s="3" t="s">
        <v>13</v>
      </c>
      <c r="G9" s="3">
        <v>1</v>
      </c>
      <c r="H9" s="13">
        <v>62000</v>
      </c>
      <c r="I9" s="3" t="s">
        <v>19</v>
      </c>
      <c r="J9" s="29" t="s">
        <v>26</v>
      </c>
      <c r="K9" s="36">
        <f>Table2[[#This Row],[Quantity]]*Table2[[#This Row],[UnitPrice]]</f>
        <v>62000</v>
      </c>
    </row>
    <row r="10" spans="1:11" ht="15" hidden="1" thickBot="1" x14ac:dyDescent="0.35">
      <c r="A10" s="28">
        <v>1008</v>
      </c>
      <c r="B10" s="6">
        <v>46238</v>
      </c>
      <c r="C10" s="3" t="s">
        <v>35</v>
      </c>
      <c r="D10" s="3" t="s">
        <v>11</v>
      </c>
      <c r="E10" s="3" t="s">
        <v>36</v>
      </c>
      <c r="F10" s="3" t="s">
        <v>13</v>
      </c>
      <c r="G10" s="3">
        <v>2</v>
      </c>
      <c r="H10" s="13">
        <v>9500</v>
      </c>
      <c r="I10" s="3" t="s">
        <v>25</v>
      </c>
      <c r="J10" s="29" t="s">
        <v>15</v>
      </c>
      <c r="K10" s="3"/>
    </row>
    <row r="11" spans="1:11" ht="15" thickBot="1" x14ac:dyDescent="0.35">
      <c r="A11" s="28">
        <v>1009</v>
      </c>
      <c r="B11" s="6">
        <v>46239</v>
      </c>
      <c r="C11" s="3" t="s">
        <v>37</v>
      </c>
      <c r="D11" s="3" t="s">
        <v>38</v>
      </c>
      <c r="E11" s="3" t="s">
        <v>78</v>
      </c>
      <c r="F11" s="3" t="s">
        <v>13</v>
      </c>
      <c r="G11" s="3">
        <v>2</v>
      </c>
      <c r="H11" s="13">
        <v>18000</v>
      </c>
      <c r="I11" s="3" t="s">
        <v>14</v>
      </c>
      <c r="J11" s="29" t="s">
        <v>16</v>
      </c>
      <c r="K11" s="36">
        <f>Table2[[#This Row],[Quantity]]*Table2[[#This Row],[UnitPrice]]</f>
        <v>36000</v>
      </c>
    </row>
    <row r="12" spans="1:11" ht="15" hidden="1" thickBot="1" x14ac:dyDescent="0.35">
      <c r="A12" s="28">
        <v>1010</v>
      </c>
      <c r="B12" s="6">
        <v>46239</v>
      </c>
      <c r="C12" s="3" t="s">
        <v>39</v>
      </c>
      <c r="D12" s="3" t="s">
        <v>30</v>
      </c>
      <c r="E12" s="3" t="s">
        <v>23</v>
      </c>
      <c r="F12" s="3" t="s">
        <v>24</v>
      </c>
      <c r="G12" s="3">
        <v>3</v>
      </c>
      <c r="H12" s="13">
        <v>1500</v>
      </c>
      <c r="I12" s="3" t="s">
        <v>19</v>
      </c>
      <c r="J12" s="29" t="s">
        <v>20</v>
      </c>
      <c r="K12" s="3"/>
    </row>
    <row r="13" spans="1:11" ht="15" hidden="1" thickBot="1" x14ac:dyDescent="0.35">
      <c r="A13" s="28">
        <v>1011</v>
      </c>
      <c r="B13" s="6">
        <v>46240</v>
      </c>
      <c r="C13" s="3" t="s">
        <v>40</v>
      </c>
      <c r="D13" s="3" t="s">
        <v>11</v>
      </c>
      <c r="E13" s="3" t="s">
        <v>28</v>
      </c>
      <c r="F13" s="3" t="s">
        <v>24</v>
      </c>
      <c r="G13" s="3">
        <v>6</v>
      </c>
      <c r="H13" s="13">
        <v>700</v>
      </c>
      <c r="I13" s="3" t="s">
        <v>14</v>
      </c>
      <c r="J13" s="29" t="s">
        <v>26</v>
      </c>
      <c r="K13" s="3"/>
    </row>
    <row r="14" spans="1:11" ht="15" thickBot="1" x14ac:dyDescent="0.35">
      <c r="A14" s="28">
        <v>1012</v>
      </c>
      <c r="B14" s="6">
        <v>46240</v>
      </c>
      <c r="C14" s="3" t="s">
        <v>41</v>
      </c>
      <c r="D14" s="3" t="s">
        <v>22</v>
      </c>
      <c r="E14" s="3" t="s">
        <v>12</v>
      </c>
      <c r="F14" s="3" t="s">
        <v>13</v>
      </c>
      <c r="G14" s="3">
        <v>1</v>
      </c>
      <c r="H14" s="13">
        <v>58000</v>
      </c>
      <c r="I14" s="3" t="s">
        <v>19</v>
      </c>
      <c r="J14" s="29" t="s">
        <v>15</v>
      </c>
      <c r="K14" s="36">
        <f>Table2[[#This Row],[Quantity]]*Table2[[#This Row],[UnitPrice]]</f>
        <v>58000</v>
      </c>
    </row>
    <row r="15" spans="1:11" ht="15" thickBot="1" x14ac:dyDescent="0.35">
      <c r="A15" s="28">
        <v>1013</v>
      </c>
      <c r="B15" s="6">
        <v>46241</v>
      </c>
      <c r="C15" s="3" t="s">
        <v>42</v>
      </c>
      <c r="D15" s="3" t="s">
        <v>17</v>
      </c>
      <c r="E15" s="3" t="s">
        <v>33</v>
      </c>
      <c r="F15" s="3" t="s">
        <v>13</v>
      </c>
      <c r="G15" s="3">
        <v>3</v>
      </c>
      <c r="H15" s="13">
        <v>13500</v>
      </c>
      <c r="I15" s="3" t="s">
        <v>14</v>
      </c>
      <c r="J15" s="29" t="s">
        <v>16</v>
      </c>
      <c r="K15" s="36">
        <f>Table2[[#This Row],[Quantity]]*Table2[[#This Row],[UnitPrice]]</f>
        <v>40500</v>
      </c>
    </row>
    <row r="16" spans="1:11" ht="15" hidden="1" thickBot="1" x14ac:dyDescent="0.35">
      <c r="A16" s="28">
        <v>1014</v>
      </c>
      <c r="B16" s="6">
        <v>46241</v>
      </c>
      <c r="C16" s="3" t="s">
        <v>43</v>
      </c>
      <c r="D16" s="3" t="s">
        <v>38</v>
      </c>
      <c r="E16" s="3" t="s">
        <v>31</v>
      </c>
      <c r="F16" s="3" t="s">
        <v>24</v>
      </c>
      <c r="G16" s="3">
        <v>4</v>
      </c>
      <c r="H16" s="13">
        <v>2200</v>
      </c>
      <c r="I16" s="3" t="s">
        <v>25</v>
      </c>
      <c r="J16" s="29" t="s">
        <v>20</v>
      </c>
      <c r="K16" s="3"/>
    </row>
    <row r="17" spans="1:11" ht="15" thickBot="1" x14ac:dyDescent="0.35">
      <c r="A17" s="28">
        <v>1015</v>
      </c>
      <c r="B17" s="6">
        <v>46242</v>
      </c>
      <c r="C17" s="3" t="s">
        <v>44</v>
      </c>
      <c r="D17" s="3" t="s">
        <v>30</v>
      </c>
      <c r="E17" s="3" t="s">
        <v>36</v>
      </c>
      <c r="F17" s="3" t="s">
        <v>13</v>
      </c>
      <c r="G17" s="3">
        <v>1</v>
      </c>
      <c r="H17" s="13">
        <v>11000</v>
      </c>
      <c r="I17" s="3" t="s">
        <v>19</v>
      </c>
      <c r="J17" s="29" t="s">
        <v>26</v>
      </c>
      <c r="K17" s="36">
        <f>Table2[[#This Row],[Quantity]]*Table2[[#This Row],[UnitPrice]]</f>
        <v>11000</v>
      </c>
    </row>
    <row r="18" spans="1:11" ht="15" thickBot="1" x14ac:dyDescent="0.35">
      <c r="A18" s="28">
        <v>1016</v>
      </c>
      <c r="B18" s="6">
        <v>46242</v>
      </c>
      <c r="C18" s="3" t="s">
        <v>45</v>
      </c>
      <c r="D18" s="3" t="s">
        <v>87</v>
      </c>
      <c r="E18" s="3" t="s">
        <v>18</v>
      </c>
      <c r="F18" s="3" t="s">
        <v>13</v>
      </c>
      <c r="G18" s="3">
        <v>3</v>
      </c>
      <c r="H18" s="13">
        <v>25000</v>
      </c>
      <c r="I18" s="3" t="s">
        <v>14</v>
      </c>
      <c r="J18" s="29" t="s">
        <v>15</v>
      </c>
      <c r="K18" s="36">
        <f>Table2[[#This Row],[Quantity]]*Table2[[#This Row],[UnitPrice]]</f>
        <v>75000</v>
      </c>
    </row>
    <row r="19" spans="1:11" ht="15" hidden="1" thickBot="1" x14ac:dyDescent="0.35">
      <c r="A19" s="28">
        <v>1017</v>
      </c>
      <c r="B19" s="6">
        <v>46243</v>
      </c>
      <c r="C19" s="3" t="s">
        <v>46</v>
      </c>
      <c r="D19" s="3" t="s">
        <v>22</v>
      </c>
      <c r="E19" s="3" t="s">
        <v>23</v>
      </c>
      <c r="F19" s="3" t="s">
        <v>24</v>
      </c>
      <c r="G19" s="3">
        <v>5</v>
      </c>
      <c r="H19" s="13">
        <v>1300</v>
      </c>
      <c r="I19" s="3" t="s">
        <v>25</v>
      </c>
      <c r="J19" s="29" t="s">
        <v>16</v>
      </c>
      <c r="K19" s="3"/>
    </row>
    <row r="20" spans="1:11" ht="15" hidden="1" thickBot="1" x14ac:dyDescent="0.35">
      <c r="A20" s="28">
        <v>1018</v>
      </c>
      <c r="B20" s="6">
        <v>46243</v>
      </c>
      <c r="C20" s="3" t="s">
        <v>47</v>
      </c>
      <c r="D20" s="3" t="s">
        <v>17</v>
      </c>
      <c r="E20" s="3" t="s">
        <v>28</v>
      </c>
      <c r="F20" s="3" t="s">
        <v>24</v>
      </c>
      <c r="G20" s="3">
        <v>8</v>
      </c>
      <c r="H20" s="13">
        <v>650</v>
      </c>
      <c r="I20" s="3" t="s">
        <v>19</v>
      </c>
      <c r="J20" s="29" t="s">
        <v>20</v>
      </c>
      <c r="K20" s="3"/>
    </row>
    <row r="21" spans="1:11" ht="15" thickBot="1" x14ac:dyDescent="0.35">
      <c r="A21" s="28">
        <v>1019</v>
      </c>
      <c r="B21" s="6">
        <v>46244</v>
      </c>
      <c r="C21" s="3" t="s">
        <v>20</v>
      </c>
      <c r="D21" s="3" t="s">
        <v>38</v>
      </c>
      <c r="E21" s="3" t="s">
        <v>12</v>
      </c>
      <c r="F21" s="3" t="s">
        <v>13</v>
      </c>
      <c r="G21" s="3">
        <v>2</v>
      </c>
      <c r="H21" s="13">
        <v>60000</v>
      </c>
      <c r="I21" s="3" t="s">
        <v>14</v>
      </c>
      <c r="J21" s="29" t="s">
        <v>26</v>
      </c>
      <c r="K21" s="36">
        <f>Table2[[#This Row],[Quantity]]*Table2[[#This Row],[UnitPrice]]</f>
        <v>120000</v>
      </c>
    </row>
    <row r="22" spans="1:11" ht="15" thickBot="1" x14ac:dyDescent="0.35">
      <c r="A22" s="28">
        <v>1020</v>
      </c>
      <c r="B22" s="6">
        <v>46244</v>
      </c>
      <c r="C22" s="3" t="s">
        <v>48</v>
      </c>
      <c r="D22" s="3" t="s">
        <v>30</v>
      </c>
      <c r="E22" s="3" t="s">
        <v>33</v>
      </c>
      <c r="F22" s="3" t="s">
        <v>13</v>
      </c>
      <c r="G22" s="3">
        <v>1</v>
      </c>
      <c r="H22" s="13">
        <v>16000</v>
      </c>
      <c r="I22" s="3" t="s">
        <v>19</v>
      </c>
      <c r="J22" s="29" t="s">
        <v>15</v>
      </c>
      <c r="K22" s="36">
        <f>Table2[[#This Row],[Quantity]]*Table2[[#This Row],[UnitPrice]]</f>
        <v>16000</v>
      </c>
    </row>
    <row r="23" spans="1:11" ht="15" thickBot="1" x14ac:dyDescent="0.35">
      <c r="A23" s="28">
        <v>1021</v>
      </c>
      <c r="B23" s="6">
        <v>46245</v>
      </c>
      <c r="C23" s="3" t="s">
        <v>49</v>
      </c>
      <c r="D23" s="3" t="s">
        <v>11</v>
      </c>
      <c r="E23" s="3" t="s">
        <v>36</v>
      </c>
      <c r="F23" s="3" t="s">
        <v>13</v>
      </c>
      <c r="G23" s="3">
        <v>2</v>
      </c>
      <c r="H23" s="13">
        <v>9000</v>
      </c>
      <c r="I23" s="3" t="s">
        <v>14</v>
      </c>
      <c r="J23" s="29" t="s">
        <v>16</v>
      </c>
      <c r="K23" s="36">
        <f>Table2[[#This Row],[Quantity]]*Table2[[#This Row],[UnitPrice]]</f>
        <v>18000</v>
      </c>
    </row>
    <row r="24" spans="1:11" ht="15" hidden="1" thickBot="1" x14ac:dyDescent="0.35">
      <c r="A24" s="28">
        <v>1022</v>
      </c>
      <c r="B24" s="6">
        <v>46245</v>
      </c>
      <c r="C24" s="3" t="s">
        <v>50</v>
      </c>
      <c r="D24" s="3" t="s">
        <v>22</v>
      </c>
      <c r="E24" s="3" t="s">
        <v>31</v>
      </c>
      <c r="F24" s="3" t="s">
        <v>24</v>
      </c>
      <c r="G24" s="3">
        <v>3</v>
      </c>
      <c r="H24" s="13">
        <v>2800</v>
      </c>
      <c r="I24" s="3" t="s">
        <v>25</v>
      </c>
      <c r="J24" s="29" t="s">
        <v>20</v>
      </c>
      <c r="K24" s="3"/>
    </row>
    <row r="25" spans="1:11" ht="15" thickBot="1" x14ac:dyDescent="0.35">
      <c r="A25" s="28">
        <v>1023</v>
      </c>
      <c r="B25" s="6">
        <v>46246</v>
      </c>
      <c r="C25" s="3" t="s">
        <v>51</v>
      </c>
      <c r="D25" s="3" t="s">
        <v>17</v>
      </c>
      <c r="E25" s="3" t="s">
        <v>18</v>
      </c>
      <c r="F25" s="3" t="s">
        <v>13</v>
      </c>
      <c r="G25" s="3">
        <v>2</v>
      </c>
      <c r="H25" s="13">
        <v>21000</v>
      </c>
      <c r="I25" s="3" t="s">
        <v>19</v>
      </c>
      <c r="J25" s="29" t="s">
        <v>26</v>
      </c>
      <c r="K25" s="36">
        <f>Table2[[#This Row],[Quantity]]*Table2[[#This Row],[UnitPrice]]</f>
        <v>42000</v>
      </c>
    </row>
    <row r="26" spans="1:11" ht="15" hidden="1" thickBot="1" x14ac:dyDescent="0.35">
      <c r="A26" s="28">
        <v>1024</v>
      </c>
      <c r="B26" s="6">
        <v>46246</v>
      </c>
      <c r="C26" s="3" t="s">
        <v>52</v>
      </c>
      <c r="D26" s="3" t="s">
        <v>38</v>
      </c>
      <c r="E26" s="3" t="s">
        <v>23</v>
      </c>
      <c r="F26" s="3" t="s">
        <v>24</v>
      </c>
      <c r="G26" s="3">
        <v>4</v>
      </c>
      <c r="H26" s="13">
        <v>1400</v>
      </c>
      <c r="I26" s="3" t="s">
        <v>14</v>
      </c>
      <c r="J26" s="29" t="s">
        <v>15</v>
      </c>
      <c r="K26" s="3"/>
    </row>
    <row r="27" spans="1:11" ht="15" hidden="1" thickBot="1" x14ac:dyDescent="0.35">
      <c r="A27" s="28">
        <v>1025</v>
      </c>
      <c r="B27" s="6">
        <v>46247</v>
      </c>
      <c r="C27" s="3" t="s">
        <v>53</v>
      </c>
      <c r="D27" s="3" t="s">
        <v>30</v>
      </c>
      <c r="E27" s="3" t="s">
        <v>28</v>
      </c>
      <c r="F27" s="3" t="s">
        <v>24</v>
      </c>
      <c r="G27" s="3">
        <v>5</v>
      </c>
      <c r="H27" s="13">
        <v>750</v>
      </c>
      <c r="I27" s="3" t="s">
        <v>25</v>
      </c>
      <c r="J27" s="29" t="s">
        <v>16</v>
      </c>
      <c r="K27" s="3"/>
    </row>
    <row r="28" spans="1:11" ht="15" thickBot="1" x14ac:dyDescent="0.35">
      <c r="A28" s="28">
        <v>1026</v>
      </c>
      <c r="B28" s="6">
        <v>46247</v>
      </c>
      <c r="C28" s="3" t="s">
        <v>54</v>
      </c>
      <c r="D28" s="3" t="s">
        <v>11</v>
      </c>
      <c r="E28" s="3" t="s">
        <v>12</v>
      </c>
      <c r="F28" s="3" t="s">
        <v>13</v>
      </c>
      <c r="G28" s="3">
        <v>1</v>
      </c>
      <c r="H28" s="13">
        <v>65000</v>
      </c>
      <c r="I28" s="3" t="s">
        <v>19</v>
      </c>
      <c r="J28" s="29" t="s">
        <v>20</v>
      </c>
      <c r="K28" s="36">
        <f>Table2[[#This Row],[Quantity]]*Table2[[#This Row],[UnitPrice]]</f>
        <v>65000</v>
      </c>
    </row>
    <row r="29" spans="1:11" ht="15" thickBot="1" x14ac:dyDescent="0.35">
      <c r="A29" s="28">
        <v>1027</v>
      </c>
      <c r="B29" s="6">
        <v>46248</v>
      </c>
      <c r="C29" s="3" t="s">
        <v>55</v>
      </c>
      <c r="D29" s="3" t="s">
        <v>22</v>
      </c>
      <c r="E29" s="3" t="s">
        <v>33</v>
      </c>
      <c r="F29" s="3" t="s">
        <v>13</v>
      </c>
      <c r="G29" s="3">
        <v>2</v>
      </c>
      <c r="H29" s="13">
        <v>14500</v>
      </c>
      <c r="I29" s="3" t="s">
        <v>14</v>
      </c>
      <c r="J29" s="29" t="s">
        <v>26</v>
      </c>
      <c r="K29" s="36">
        <f>Table2[[#This Row],[Quantity]]*Table2[[#This Row],[UnitPrice]]</f>
        <v>29000</v>
      </c>
    </row>
    <row r="30" spans="1:11" ht="15" thickBot="1" x14ac:dyDescent="0.35">
      <c r="A30" s="28">
        <v>1028</v>
      </c>
      <c r="B30" s="6">
        <v>46248</v>
      </c>
      <c r="C30" s="3" t="s">
        <v>56</v>
      </c>
      <c r="D30" s="3" t="s">
        <v>17</v>
      </c>
      <c r="E30" s="3" t="s">
        <v>36</v>
      </c>
      <c r="F30" s="3" t="s">
        <v>13</v>
      </c>
      <c r="G30" s="3">
        <v>3</v>
      </c>
      <c r="H30" s="13">
        <v>8500</v>
      </c>
      <c r="I30" s="3" t="s">
        <v>19</v>
      </c>
      <c r="J30" s="29" t="s">
        <v>15</v>
      </c>
      <c r="K30" s="36">
        <f>Table2[[#This Row],[Quantity]]*Table2[[#This Row],[UnitPrice]]</f>
        <v>25500</v>
      </c>
    </row>
    <row r="31" spans="1:11" ht="15" hidden="1" thickBot="1" x14ac:dyDescent="0.35">
      <c r="A31" s="28">
        <v>1029</v>
      </c>
      <c r="B31" s="6">
        <v>46249</v>
      </c>
      <c r="C31" s="3" t="s">
        <v>57</v>
      </c>
      <c r="D31" s="3" t="s">
        <v>38</v>
      </c>
      <c r="E31" s="3" t="s">
        <v>18</v>
      </c>
      <c r="F31" s="3" t="s">
        <v>13</v>
      </c>
      <c r="G31" s="3">
        <v>1</v>
      </c>
      <c r="H31" s="13">
        <v>23000</v>
      </c>
      <c r="I31" s="3" t="s">
        <v>25</v>
      </c>
      <c r="J31" s="29" t="s">
        <v>16</v>
      </c>
      <c r="K31" s="3"/>
    </row>
    <row r="32" spans="1:11" ht="15" hidden="1" thickBot="1" x14ac:dyDescent="0.35">
      <c r="A32" s="28">
        <v>1030</v>
      </c>
      <c r="B32" s="6">
        <v>46249</v>
      </c>
      <c r="C32" s="3" t="s">
        <v>58</v>
      </c>
      <c r="D32" s="3" t="s">
        <v>30</v>
      </c>
      <c r="E32" s="3" t="s">
        <v>31</v>
      </c>
      <c r="F32" s="3" t="s">
        <v>24</v>
      </c>
      <c r="G32" s="3">
        <v>2</v>
      </c>
      <c r="H32" s="13">
        <v>3000</v>
      </c>
      <c r="I32" s="3" t="s">
        <v>14</v>
      </c>
      <c r="J32" s="29" t="s">
        <v>20</v>
      </c>
      <c r="K32" s="3"/>
    </row>
    <row r="33" spans="1:11" ht="15" hidden="1" thickBot="1" x14ac:dyDescent="0.35">
      <c r="A33" s="28">
        <v>1031</v>
      </c>
      <c r="B33" s="6">
        <v>46250</v>
      </c>
      <c r="C33" s="3" t="s">
        <v>59</v>
      </c>
      <c r="D33" s="3" t="s">
        <v>11</v>
      </c>
      <c r="E33" s="3" t="s">
        <v>23</v>
      </c>
      <c r="F33" s="3" t="s">
        <v>24</v>
      </c>
      <c r="G33" s="3">
        <v>7</v>
      </c>
      <c r="H33" s="13">
        <v>1100</v>
      </c>
      <c r="I33" s="3" t="s">
        <v>19</v>
      </c>
      <c r="J33" s="29" t="s">
        <v>26</v>
      </c>
      <c r="K33" s="3"/>
    </row>
    <row r="34" spans="1:11" ht="15" hidden="1" thickBot="1" x14ac:dyDescent="0.35">
      <c r="A34" s="28">
        <v>1032</v>
      </c>
      <c r="B34" s="6">
        <v>46250</v>
      </c>
      <c r="C34" s="3" t="s">
        <v>60</v>
      </c>
      <c r="D34" s="3" t="s">
        <v>22</v>
      </c>
      <c r="E34" s="3" t="s">
        <v>28</v>
      </c>
      <c r="F34" s="3" t="s">
        <v>24</v>
      </c>
      <c r="G34" s="3">
        <v>4</v>
      </c>
      <c r="H34" s="13">
        <v>900</v>
      </c>
      <c r="I34" s="3" t="s">
        <v>14</v>
      </c>
      <c r="J34" s="29" t="s">
        <v>15</v>
      </c>
      <c r="K34" s="3"/>
    </row>
    <row r="35" spans="1:11" ht="15" thickBot="1" x14ac:dyDescent="0.35">
      <c r="A35" s="28">
        <v>1033</v>
      </c>
      <c r="B35" s="6">
        <v>46251</v>
      </c>
      <c r="C35" s="3" t="s">
        <v>61</v>
      </c>
      <c r="D35" s="3" t="s">
        <v>17</v>
      </c>
      <c r="E35" s="3" t="s">
        <v>12</v>
      </c>
      <c r="F35" s="3" t="s">
        <v>13</v>
      </c>
      <c r="G35" s="3">
        <v>2</v>
      </c>
      <c r="H35" s="13">
        <v>57000</v>
      </c>
      <c r="I35" s="3" t="s">
        <v>19</v>
      </c>
      <c r="J35" s="29" t="s">
        <v>16</v>
      </c>
      <c r="K35" s="36">
        <f>Table2[[#This Row],[Quantity]]*Table2[[#This Row],[UnitPrice]]</f>
        <v>114000</v>
      </c>
    </row>
    <row r="36" spans="1:11" ht="15" hidden="1" thickBot="1" x14ac:dyDescent="0.35">
      <c r="A36" s="28">
        <v>1034</v>
      </c>
      <c r="B36" s="6">
        <v>46251</v>
      </c>
      <c r="C36" s="3" t="s">
        <v>62</v>
      </c>
      <c r="D36" s="3" t="s">
        <v>38</v>
      </c>
      <c r="E36" s="3" t="s">
        <v>33</v>
      </c>
      <c r="F36" s="3" t="s">
        <v>13</v>
      </c>
      <c r="G36" s="3">
        <v>1</v>
      </c>
      <c r="H36" s="13">
        <v>15500</v>
      </c>
      <c r="I36" s="3" t="s">
        <v>25</v>
      </c>
      <c r="J36" s="29" t="s">
        <v>20</v>
      </c>
      <c r="K36" s="3"/>
    </row>
    <row r="37" spans="1:11" ht="15" thickBot="1" x14ac:dyDescent="0.35">
      <c r="A37" s="28">
        <v>1035</v>
      </c>
      <c r="B37" s="6">
        <v>46252</v>
      </c>
      <c r="C37" s="3" t="s">
        <v>63</v>
      </c>
      <c r="D37" s="3" t="s">
        <v>30</v>
      </c>
      <c r="E37" s="3" t="s">
        <v>36</v>
      </c>
      <c r="F37" s="3" t="s">
        <v>13</v>
      </c>
      <c r="G37" s="3">
        <v>2</v>
      </c>
      <c r="H37" s="13">
        <v>10000</v>
      </c>
      <c r="I37" s="3" t="s">
        <v>14</v>
      </c>
      <c r="J37" s="29" t="s">
        <v>26</v>
      </c>
      <c r="K37" s="36">
        <f>Table2[[#This Row],[Quantity]]*Table2[[#This Row],[UnitPrice]]</f>
        <v>20000</v>
      </c>
    </row>
    <row r="38" spans="1:11" ht="15" thickBot="1" x14ac:dyDescent="0.35">
      <c r="A38" s="28">
        <v>1036</v>
      </c>
      <c r="B38" s="6">
        <v>46252</v>
      </c>
      <c r="C38" s="3" t="s">
        <v>64</v>
      </c>
      <c r="D38" s="3" t="s">
        <v>11</v>
      </c>
      <c r="E38" s="3" t="s">
        <v>18</v>
      </c>
      <c r="F38" s="3" t="s">
        <v>13</v>
      </c>
      <c r="G38" s="3">
        <v>4</v>
      </c>
      <c r="H38" s="13">
        <v>19500</v>
      </c>
      <c r="I38" s="3" t="s">
        <v>19</v>
      </c>
      <c r="J38" s="29" t="s">
        <v>15</v>
      </c>
      <c r="K38" s="36">
        <f>Table2[[#This Row],[Quantity]]*Table2[[#This Row],[UnitPrice]]</f>
        <v>78000</v>
      </c>
    </row>
    <row r="39" spans="1:11" ht="15" hidden="1" thickBot="1" x14ac:dyDescent="0.35">
      <c r="A39" s="28">
        <v>1037</v>
      </c>
      <c r="B39" s="6">
        <v>46253</v>
      </c>
      <c r="C39" s="3" t="s">
        <v>65</v>
      </c>
      <c r="D39" s="3" t="s">
        <v>22</v>
      </c>
      <c r="E39" s="3" t="s">
        <v>23</v>
      </c>
      <c r="F39" s="3" t="s">
        <v>24</v>
      </c>
      <c r="G39" s="3">
        <v>3</v>
      </c>
      <c r="H39" s="13">
        <v>1600</v>
      </c>
      <c r="I39" s="3" t="s">
        <v>14</v>
      </c>
      <c r="J39" s="29" t="s">
        <v>16</v>
      </c>
      <c r="K39" s="3"/>
    </row>
    <row r="40" spans="1:11" ht="15" hidden="1" thickBot="1" x14ac:dyDescent="0.35">
      <c r="A40" s="28">
        <v>1038</v>
      </c>
      <c r="B40" s="6">
        <v>46253</v>
      </c>
      <c r="C40" s="3" t="s">
        <v>66</v>
      </c>
      <c r="D40" s="3" t="s">
        <v>17</v>
      </c>
      <c r="E40" s="3" t="s">
        <v>28</v>
      </c>
      <c r="F40" s="3" t="s">
        <v>24</v>
      </c>
      <c r="G40" s="3">
        <v>6</v>
      </c>
      <c r="H40" s="13">
        <v>850</v>
      </c>
      <c r="I40" s="3" t="s">
        <v>25</v>
      </c>
      <c r="J40" s="29" t="s">
        <v>20</v>
      </c>
      <c r="K40" s="3"/>
    </row>
    <row r="41" spans="1:11" ht="15" thickBot="1" x14ac:dyDescent="0.35">
      <c r="A41" s="28">
        <v>1039</v>
      </c>
      <c r="B41" s="6">
        <v>46254</v>
      </c>
      <c r="C41" s="3" t="s">
        <v>67</v>
      </c>
      <c r="D41" s="3" t="s">
        <v>38</v>
      </c>
      <c r="E41" s="3" t="s">
        <v>12</v>
      </c>
      <c r="F41" s="3" t="s">
        <v>13</v>
      </c>
      <c r="G41" s="3">
        <v>1</v>
      </c>
      <c r="H41" s="13">
        <v>61000</v>
      </c>
      <c r="I41" s="3" t="s">
        <v>19</v>
      </c>
      <c r="J41" s="29" t="s">
        <v>26</v>
      </c>
      <c r="K41" s="36">
        <f>Table2[[#This Row],[Quantity]]*Table2[[#This Row],[UnitPrice]]</f>
        <v>61000</v>
      </c>
    </row>
    <row r="42" spans="1:11" ht="15" thickBot="1" x14ac:dyDescent="0.35">
      <c r="A42" s="28">
        <v>1040</v>
      </c>
      <c r="B42" s="6">
        <v>46254</v>
      </c>
      <c r="C42" s="3" t="s">
        <v>68</v>
      </c>
      <c r="D42" s="3" t="s">
        <v>30</v>
      </c>
      <c r="E42" s="3" t="s">
        <v>33</v>
      </c>
      <c r="F42" s="3" t="s">
        <v>13</v>
      </c>
      <c r="G42" s="3">
        <v>2</v>
      </c>
      <c r="H42" s="13">
        <v>12500</v>
      </c>
      <c r="I42" s="3" t="s">
        <v>14</v>
      </c>
      <c r="J42" s="29" t="s">
        <v>15</v>
      </c>
      <c r="K42" s="36">
        <f>Table2[[#This Row],[Quantity]]*Table2[[#This Row],[UnitPrice]]</f>
        <v>25000</v>
      </c>
    </row>
    <row r="43" spans="1:11" ht="15" thickBot="1" x14ac:dyDescent="0.35">
      <c r="A43" s="28">
        <v>1041</v>
      </c>
      <c r="B43" s="6">
        <v>46255</v>
      </c>
      <c r="C43" s="3" t="s">
        <v>26</v>
      </c>
      <c r="D43" s="3" t="s">
        <v>11</v>
      </c>
      <c r="E43" s="3" t="s">
        <v>36</v>
      </c>
      <c r="F43" s="3" t="s">
        <v>13</v>
      </c>
      <c r="G43" s="3">
        <v>1</v>
      </c>
      <c r="H43" s="13">
        <v>9500</v>
      </c>
      <c r="I43" s="3" t="s">
        <v>19</v>
      </c>
      <c r="J43" s="29" t="s">
        <v>16</v>
      </c>
      <c r="K43" s="36">
        <f>Table2[[#This Row],[Quantity]]*Table2[[#This Row],[UnitPrice]]</f>
        <v>9500</v>
      </c>
    </row>
    <row r="44" spans="1:11" ht="15" hidden="1" thickBot="1" x14ac:dyDescent="0.35">
      <c r="A44" s="28">
        <v>1042</v>
      </c>
      <c r="B44" s="6">
        <v>46255</v>
      </c>
      <c r="C44" s="3" t="s">
        <v>69</v>
      </c>
      <c r="D44" s="3" t="s">
        <v>22</v>
      </c>
      <c r="E44" s="3" t="s">
        <v>31</v>
      </c>
      <c r="F44" s="3" t="s">
        <v>24</v>
      </c>
      <c r="G44" s="3">
        <v>5</v>
      </c>
      <c r="H44" s="13">
        <v>2400</v>
      </c>
      <c r="I44" s="3" t="s">
        <v>25</v>
      </c>
      <c r="J44" s="29" t="s">
        <v>20</v>
      </c>
      <c r="K44" s="3"/>
    </row>
    <row r="45" spans="1:11" ht="15" thickBot="1" x14ac:dyDescent="0.35">
      <c r="A45" s="28">
        <v>1043</v>
      </c>
      <c r="B45" s="6">
        <v>46256</v>
      </c>
      <c r="C45" s="3" t="s">
        <v>70</v>
      </c>
      <c r="D45" s="3" t="s">
        <v>17</v>
      </c>
      <c r="E45" s="3" t="s">
        <v>18</v>
      </c>
      <c r="F45" s="3" t="s">
        <v>13</v>
      </c>
      <c r="G45" s="3">
        <v>2</v>
      </c>
      <c r="H45" s="13">
        <v>26000</v>
      </c>
      <c r="I45" s="3" t="s">
        <v>14</v>
      </c>
      <c r="J45" s="29" t="s">
        <v>26</v>
      </c>
      <c r="K45" s="36">
        <f>Table2[[#This Row],[Quantity]]*Table2[[#This Row],[UnitPrice]]</f>
        <v>52000</v>
      </c>
    </row>
    <row r="46" spans="1:11" ht="15" hidden="1" thickBot="1" x14ac:dyDescent="0.35">
      <c r="A46" s="28">
        <v>1044</v>
      </c>
      <c r="B46" s="6">
        <v>46256</v>
      </c>
      <c r="C46" s="3" t="s">
        <v>71</v>
      </c>
      <c r="D46" s="3" t="s">
        <v>38</v>
      </c>
      <c r="E46" s="3" t="s">
        <v>23</v>
      </c>
      <c r="F46" s="3" t="s">
        <v>24</v>
      </c>
      <c r="G46" s="3">
        <v>4</v>
      </c>
      <c r="H46" s="13">
        <v>1250</v>
      </c>
      <c r="I46" s="3" t="s">
        <v>19</v>
      </c>
      <c r="J46" s="29" t="s">
        <v>15</v>
      </c>
      <c r="K46" s="3"/>
    </row>
    <row r="47" spans="1:11" ht="15" hidden="1" thickBot="1" x14ac:dyDescent="0.35">
      <c r="A47" s="28">
        <v>1045</v>
      </c>
      <c r="B47" s="6">
        <v>46257</v>
      </c>
      <c r="C47" s="3" t="s">
        <v>72</v>
      </c>
      <c r="D47" s="3" t="s">
        <v>30</v>
      </c>
      <c r="E47" s="3" t="s">
        <v>28</v>
      </c>
      <c r="F47" s="3" t="s">
        <v>24</v>
      </c>
      <c r="G47" s="3">
        <v>3</v>
      </c>
      <c r="H47" s="13">
        <v>950</v>
      </c>
      <c r="I47" s="3" t="s">
        <v>14</v>
      </c>
      <c r="J47" s="29" t="s">
        <v>16</v>
      </c>
      <c r="K47" s="3"/>
    </row>
    <row r="48" spans="1:11" ht="15" hidden="1" thickBot="1" x14ac:dyDescent="0.35">
      <c r="A48" s="28">
        <v>1046</v>
      </c>
      <c r="B48" s="6">
        <v>46257</v>
      </c>
      <c r="C48" s="3" t="s">
        <v>73</v>
      </c>
      <c r="D48" s="3" t="s">
        <v>11</v>
      </c>
      <c r="E48" s="3" t="s">
        <v>12</v>
      </c>
      <c r="F48" s="3" t="s">
        <v>13</v>
      </c>
      <c r="G48" s="3">
        <v>2</v>
      </c>
      <c r="H48" s="13">
        <v>59000</v>
      </c>
      <c r="I48" s="3" t="s">
        <v>25</v>
      </c>
      <c r="J48" s="29" t="s">
        <v>20</v>
      </c>
      <c r="K48" s="3"/>
    </row>
    <row r="49" spans="1:11" ht="15" thickBot="1" x14ac:dyDescent="0.35">
      <c r="A49" s="28">
        <v>1047</v>
      </c>
      <c r="B49" s="6">
        <v>46258</v>
      </c>
      <c r="C49" s="3" t="s">
        <v>74</v>
      </c>
      <c r="D49" s="3" t="s">
        <v>22</v>
      </c>
      <c r="E49" s="3" t="s">
        <v>33</v>
      </c>
      <c r="F49" s="3" t="s">
        <v>13</v>
      </c>
      <c r="G49" s="3">
        <v>3</v>
      </c>
      <c r="H49" s="13">
        <v>14000</v>
      </c>
      <c r="I49" s="3" t="s">
        <v>19</v>
      </c>
      <c r="J49" s="29" t="s">
        <v>26</v>
      </c>
      <c r="K49" s="36">
        <f>Table2[[#This Row],[Quantity]]*Table2[[#This Row],[UnitPrice]]</f>
        <v>42000</v>
      </c>
    </row>
    <row r="50" spans="1:11" ht="15" thickBot="1" x14ac:dyDescent="0.35">
      <c r="A50" s="28">
        <v>1048</v>
      </c>
      <c r="B50" s="6">
        <v>46258</v>
      </c>
      <c r="C50" s="3" t="s">
        <v>75</v>
      </c>
      <c r="D50" s="3" t="s">
        <v>17</v>
      </c>
      <c r="E50" s="3" t="s">
        <v>36</v>
      </c>
      <c r="F50" s="3" t="s">
        <v>13</v>
      </c>
      <c r="G50" s="3">
        <v>2</v>
      </c>
      <c r="H50" s="13">
        <v>9200</v>
      </c>
      <c r="I50" s="3" t="s">
        <v>14</v>
      </c>
      <c r="J50" s="29" t="s">
        <v>15</v>
      </c>
      <c r="K50" s="36">
        <f>Table2[[#This Row],[Quantity]]*Table2[[#This Row],[UnitPrice]]</f>
        <v>18400</v>
      </c>
    </row>
    <row r="51" spans="1:11" ht="15" thickBot="1" x14ac:dyDescent="0.35">
      <c r="A51" s="28">
        <v>1049</v>
      </c>
      <c r="B51" s="6">
        <v>46259</v>
      </c>
      <c r="C51" s="3" t="s">
        <v>76</v>
      </c>
      <c r="D51" s="3" t="s">
        <v>38</v>
      </c>
      <c r="E51" s="3" t="s">
        <v>18</v>
      </c>
      <c r="F51" s="3" t="s">
        <v>13</v>
      </c>
      <c r="G51" s="3">
        <v>3</v>
      </c>
      <c r="H51" s="13">
        <v>20000</v>
      </c>
      <c r="I51" s="3" t="s">
        <v>19</v>
      </c>
      <c r="J51" s="29" t="s">
        <v>16</v>
      </c>
      <c r="K51" s="36">
        <f>Table2[[#This Row],[Quantity]]*Table2[[#This Row],[UnitPrice]]</f>
        <v>60000</v>
      </c>
    </row>
    <row r="52" spans="1:11" hidden="1" x14ac:dyDescent="0.3">
      <c r="A52" s="34">
        <v>1050</v>
      </c>
      <c r="B52" s="25">
        <v>46259</v>
      </c>
      <c r="C52" s="26" t="s">
        <v>77</v>
      </c>
      <c r="D52" s="26" t="s">
        <v>30</v>
      </c>
      <c r="E52" s="26" t="s">
        <v>31</v>
      </c>
      <c r="F52" s="26" t="s">
        <v>24</v>
      </c>
      <c r="G52" s="26">
        <v>4</v>
      </c>
      <c r="H52" s="27">
        <v>2700</v>
      </c>
      <c r="I52" s="26" t="s">
        <v>25</v>
      </c>
      <c r="J52" s="35" t="s">
        <v>20</v>
      </c>
      <c r="K52" s="26"/>
    </row>
  </sheetData>
  <mergeCells count="1">
    <mergeCell ref="A1:J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BF72A-0E93-45FF-9270-C5E3252F3AA5}">
  <dimension ref="A1:P53"/>
  <sheetViews>
    <sheetView workbookViewId="0">
      <selection sqref="A1:L53"/>
    </sheetView>
  </sheetViews>
  <sheetFormatPr defaultRowHeight="14.4" x14ac:dyDescent="0.3"/>
  <cols>
    <col min="1" max="1" width="48.6640625" customWidth="1"/>
    <col min="2" max="4" width="10.44140625" customWidth="1"/>
    <col min="5" max="5" width="11.109375" bestFit="1" customWidth="1"/>
    <col min="6" max="6" width="10.44140625" bestFit="1" customWidth="1"/>
    <col min="7" max="7" width="10.44140625" customWidth="1"/>
    <col min="8" max="8" width="11.44140625" bestFit="1" customWidth="1"/>
    <col min="9" max="9" width="13.6640625" bestFit="1" customWidth="1"/>
    <col min="10" max="10" width="11" bestFit="1" customWidth="1"/>
    <col min="11" max="11" width="12.88671875" bestFit="1" customWidth="1"/>
    <col min="12" max="12" width="14.44140625" bestFit="1" customWidth="1"/>
    <col min="14" max="14" width="14.77734375" bestFit="1" customWidth="1"/>
    <col min="15" max="15" width="12.88671875" bestFit="1" customWidth="1"/>
    <col min="17" max="17" width="12.33203125" bestFit="1" customWidth="1"/>
  </cols>
  <sheetData>
    <row r="1" spans="1:16" ht="18.600000000000001" thickBot="1" x14ac:dyDescent="0.4">
      <c r="A1" s="65" t="s">
        <v>95</v>
      </c>
      <c r="B1" s="66" t="s">
        <v>123</v>
      </c>
      <c r="C1" s="66" t="s">
        <v>124</v>
      </c>
      <c r="D1" s="66" t="s">
        <v>125</v>
      </c>
      <c r="E1" s="66" t="s">
        <v>126</v>
      </c>
      <c r="F1" s="66" t="s">
        <v>127</v>
      </c>
      <c r="G1" s="66" t="s">
        <v>128</v>
      </c>
      <c r="H1" s="66" t="s">
        <v>129</v>
      </c>
      <c r="I1" s="66" t="s">
        <v>130</v>
      </c>
      <c r="J1" s="66" t="s">
        <v>131</v>
      </c>
      <c r="K1" s="66" t="s">
        <v>132</v>
      </c>
      <c r="L1" s="66" t="s">
        <v>133</v>
      </c>
    </row>
    <row r="2" spans="1:16" x14ac:dyDescent="0.3">
      <c r="A2" s="46" t="s">
        <v>0</v>
      </c>
      <c r="B2" s="47" t="s">
        <v>1</v>
      </c>
      <c r="C2" s="47" t="s">
        <v>2</v>
      </c>
      <c r="D2" s="47" t="s">
        <v>3</v>
      </c>
      <c r="E2" s="47" t="s">
        <v>4</v>
      </c>
      <c r="F2" s="47" t="s">
        <v>5</v>
      </c>
      <c r="G2" s="47" t="s">
        <v>6</v>
      </c>
      <c r="H2" s="48" t="s">
        <v>7</v>
      </c>
      <c r="I2" s="47" t="s">
        <v>8</v>
      </c>
      <c r="J2" s="47" t="s">
        <v>9</v>
      </c>
      <c r="K2" s="47" t="s">
        <v>82</v>
      </c>
      <c r="L2" s="49" t="s">
        <v>91</v>
      </c>
    </row>
    <row r="3" spans="1:16" ht="18.600000000000001" thickBot="1" x14ac:dyDescent="0.4">
      <c r="A3" s="50">
        <v>1001</v>
      </c>
      <c r="B3" s="42">
        <v>46235</v>
      </c>
      <c r="C3" s="41" t="s">
        <v>10</v>
      </c>
      <c r="D3" s="41" t="s">
        <v>11</v>
      </c>
      <c r="E3" s="41" t="s">
        <v>12</v>
      </c>
      <c r="F3" s="41" t="s">
        <v>13</v>
      </c>
      <c r="G3" s="41">
        <v>2</v>
      </c>
      <c r="H3" s="43">
        <v>55000</v>
      </c>
      <c r="I3" s="41" t="s">
        <v>14</v>
      </c>
      <c r="J3" s="41" t="s">
        <v>15</v>
      </c>
      <c r="K3" s="44">
        <f>G3*H3</f>
        <v>110000</v>
      </c>
      <c r="L3" s="51" t="str" cm="1">
        <f t="array" ref="L3">_xlfn.IFS(K3&gt;=100000,"Great Sale",K3&gt;=50000,"Good Sale",K3&gt;=30,"Avg Sale",K3&lt;=10000,"Poor Sale")</f>
        <v>Great Sale</v>
      </c>
      <c r="N3" s="114" t="s">
        <v>96</v>
      </c>
      <c r="O3" s="115"/>
      <c r="P3" s="115"/>
    </row>
    <row r="4" spans="1:16" x14ac:dyDescent="0.3">
      <c r="A4" s="50">
        <v>1002</v>
      </c>
      <c r="B4" s="42">
        <v>46235</v>
      </c>
      <c r="C4" s="41" t="s">
        <v>16</v>
      </c>
      <c r="D4" s="41" t="s">
        <v>17</v>
      </c>
      <c r="E4" s="41" t="s">
        <v>18</v>
      </c>
      <c r="F4" s="41" t="s">
        <v>13</v>
      </c>
      <c r="G4" s="41">
        <v>3</v>
      </c>
      <c r="H4" s="43">
        <v>22000</v>
      </c>
      <c r="I4" s="41" t="s">
        <v>19</v>
      </c>
      <c r="J4" s="41" t="s">
        <v>20</v>
      </c>
      <c r="K4" s="44">
        <f t="shared" ref="K4:K52" si="0">G4*H4</f>
        <v>66000</v>
      </c>
      <c r="L4" s="51" t="str" cm="1">
        <f t="array" ref="L4">_xlfn.IFS(K4&gt;=100000,"Great Sale",K4&gt;=50000,"Good Sale",K4&gt;=30,"Avg Sale",K4&lt;=10000,"Poor Sale")</f>
        <v>Good Sale</v>
      </c>
      <c r="N4" s="57" t="s">
        <v>99</v>
      </c>
      <c r="O4" s="58" t="s">
        <v>93</v>
      </c>
      <c r="P4" s="59" t="s">
        <v>94</v>
      </c>
    </row>
    <row r="5" spans="1:16" x14ac:dyDescent="0.3">
      <c r="A5" s="50">
        <v>1003</v>
      </c>
      <c r="B5" s="42">
        <v>46236</v>
      </c>
      <c r="C5" s="41" t="s">
        <v>21</v>
      </c>
      <c r="D5" s="41" t="s">
        <v>22</v>
      </c>
      <c r="E5" s="41" t="s">
        <v>23</v>
      </c>
      <c r="F5" s="41" t="s">
        <v>24</v>
      </c>
      <c r="G5" s="41">
        <v>5</v>
      </c>
      <c r="H5" s="43">
        <v>1200</v>
      </c>
      <c r="I5" s="41" t="s">
        <v>25</v>
      </c>
      <c r="J5" s="41" t="s">
        <v>26</v>
      </c>
      <c r="K5" s="44">
        <f t="shared" si="0"/>
        <v>6000</v>
      </c>
      <c r="L5" s="51" t="str" cm="1">
        <f t="array" ref="L5">_xlfn.IFS(K5&gt;=100000,"Great Sale",K5&gt;=50000,"Good Sale",K5&gt;=30,"Avg Sale",K5&lt;=10000,"Poor Sale")</f>
        <v>Avg Sale</v>
      </c>
      <c r="N5" s="50" t="s">
        <v>10</v>
      </c>
      <c r="O5" s="55">
        <f>SUMIF($C$3:$C$52,$N5,$K$3:$K$53)</f>
        <v>261500</v>
      </c>
      <c r="P5" s="45">
        <f>AVERAGEIF($C$3:$C$52,N5,$K$3:$K$53)</f>
        <v>52300</v>
      </c>
    </row>
    <row r="6" spans="1:16" x14ac:dyDescent="0.3">
      <c r="A6" s="50">
        <v>1004</v>
      </c>
      <c r="B6" s="42">
        <v>46236</v>
      </c>
      <c r="C6" s="41" t="s">
        <v>27</v>
      </c>
      <c r="D6" s="41" t="s">
        <v>11</v>
      </c>
      <c r="E6" s="41" t="s">
        <v>28</v>
      </c>
      <c r="F6" s="41" t="s">
        <v>24</v>
      </c>
      <c r="G6" s="41">
        <v>4</v>
      </c>
      <c r="H6" s="43">
        <v>800</v>
      </c>
      <c r="I6" s="41" t="s">
        <v>14</v>
      </c>
      <c r="J6" s="41" t="s">
        <v>15</v>
      </c>
      <c r="K6" s="44">
        <f t="shared" si="0"/>
        <v>3200</v>
      </c>
      <c r="L6" s="51" t="str" cm="1">
        <f t="array" ref="L6">_xlfn.IFS(K6&gt;=100000,"Great Sale",K6&gt;=50000,"Good Sale",K6&gt;=30,"Avg Sale",K6&lt;=10000,"Poor Sale")</f>
        <v>Avg Sale</v>
      </c>
      <c r="N6" s="50" t="s">
        <v>16</v>
      </c>
      <c r="O6" s="55">
        <f t="shared" ref="O6:O43" si="1">SUMIF($C$3:$C$52,$N6,$K$3:$K$53)</f>
        <v>66000</v>
      </c>
      <c r="P6" s="45">
        <f t="shared" ref="P6:P43" si="2">AVERAGEIF($C$3:$C$52,N6,$K$3:$K$53)</f>
        <v>66000</v>
      </c>
    </row>
    <row r="7" spans="1:16" x14ac:dyDescent="0.3">
      <c r="A7" s="50">
        <v>1005</v>
      </c>
      <c r="B7" s="42">
        <v>46237</v>
      </c>
      <c r="C7" s="41" t="s">
        <v>29</v>
      </c>
      <c r="D7" s="41" t="s">
        <v>30</v>
      </c>
      <c r="E7" s="41" t="s">
        <v>31</v>
      </c>
      <c r="F7" s="41" t="s">
        <v>24</v>
      </c>
      <c r="G7" s="41">
        <v>2</v>
      </c>
      <c r="H7" s="43">
        <v>2500</v>
      </c>
      <c r="I7" s="41" t="s">
        <v>19</v>
      </c>
      <c r="J7" s="41" t="s">
        <v>16</v>
      </c>
      <c r="K7" s="44">
        <f t="shared" si="0"/>
        <v>5000</v>
      </c>
      <c r="L7" s="51" t="str" cm="1">
        <f t="array" ref="L7">_xlfn.IFS(K7&gt;=100000,"Great Sale",K7&gt;=50000,"Good Sale",K7&gt;=30,"Avg Sale",K7&lt;=10000,"Poor Sale")</f>
        <v>Avg Sale</v>
      </c>
      <c r="N7" s="50" t="s">
        <v>21</v>
      </c>
      <c r="O7" s="55">
        <f t="shared" si="1"/>
        <v>10500</v>
      </c>
      <c r="P7" s="45">
        <f t="shared" si="2"/>
        <v>5250</v>
      </c>
    </row>
    <row r="8" spans="1:16" x14ac:dyDescent="0.3">
      <c r="A8" s="50">
        <v>1006</v>
      </c>
      <c r="B8" s="42">
        <v>46237</v>
      </c>
      <c r="C8" s="41" t="s">
        <v>32</v>
      </c>
      <c r="D8" s="41" t="s">
        <v>22</v>
      </c>
      <c r="E8" s="41" t="s">
        <v>33</v>
      </c>
      <c r="F8" s="41" t="s">
        <v>13</v>
      </c>
      <c r="G8" s="41">
        <v>2</v>
      </c>
      <c r="H8" s="43">
        <v>15000</v>
      </c>
      <c r="I8" s="41" t="s">
        <v>14</v>
      </c>
      <c r="J8" s="41" t="s">
        <v>20</v>
      </c>
      <c r="K8" s="44">
        <f t="shared" si="0"/>
        <v>30000</v>
      </c>
      <c r="L8" s="51" t="str" cm="1">
        <f t="array" ref="L8">_xlfn.IFS(K8&gt;=100000,"Great Sale",K8&gt;=50000,"Good Sale",K8&gt;=30,"Avg Sale",K8&lt;=10000,"Poor Sale")</f>
        <v>Avg Sale</v>
      </c>
      <c r="N8" s="50" t="s">
        <v>27</v>
      </c>
      <c r="O8" s="55">
        <f t="shared" si="1"/>
        <v>3200</v>
      </c>
      <c r="P8" s="45">
        <f t="shared" si="2"/>
        <v>3200</v>
      </c>
    </row>
    <row r="9" spans="1:16" x14ac:dyDescent="0.3">
      <c r="A9" s="50">
        <v>1007</v>
      </c>
      <c r="B9" s="42">
        <v>46238</v>
      </c>
      <c r="C9" s="41" t="s">
        <v>35</v>
      </c>
      <c r="D9" s="41" t="s">
        <v>17</v>
      </c>
      <c r="E9" s="41" t="s">
        <v>12</v>
      </c>
      <c r="F9" s="41" t="s">
        <v>13</v>
      </c>
      <c r="G9" s="41">
        <v>1</v>
      </c>
      <c r="H9" s="43">
        <v>62000</v>
      </c>
      <c r="I9" s="41" t="s">
        <v>19</v>
      </c>
      <c r="J9" s="41" t="s">
        <v>26</v>
      </c>
      <c r="K9" s="44">
        <f t="shared" si="0"/>
        <v>62000</v>
      </c>
      <c r="L9" s="51" t="str" cm="1">
        <f t="array" ref="L9">_xlfn.IFS(K9&gt;=100000,"Great Sale",K9&gt;=50000,"Good Sale",K9&gt;=30,"Avg Sale",K9&lt;=10000,"Poor Sale")</f>
        <v>Good Sale</v>
      </c>
      <c r="N9" s="50" t="s">
        <v>29</v>
      </c>
      <c r="O9" s="55">
        <f t="shared" si="1"/>
        <v>14500</v>
      </c>
      <c r="P9" s="45">
        <f t="shared" si="2"/>
        <v>7250</v>
      </c>
    </row>
    <row r="10" spans="1:16" x14ac:dyDescent="0.3">
      <c r="A10" s="50">
        <v>1008</v>
      </c>
      <c r="B10" s="42">
        <v>46238</v>
      </c>
      <c r="C10" s="41" t="s">
        <v>35</v>
      </c>
      <c r="D10" s="41" t="s">
        <v>11</v>
      </c>
      <c r="E10" s="41" t="s">
        <v>36</v>
      </c>
      <c r="F10" s="41" t="s">
        <v>13</v>
      </c>
      <c r="G10" s="41">
        <v>2</v>
      </c>
      <c r="H10" s="43">
        <v>9500</v>
      </c>
      <c r="I10" s="41" t="s">
        <v>25</v>
      </c>
      <c r="J10" s="41" t="s">
        <v>15</v>
      </c>
      <c r="K10" s="44">
        <f t="shared" si="0"/>
        <v>19000</v>
      </c>
      <c r="L10" s="51" t="str" cm="1">
        <f t="array" ref="L10">_xlfn.IFS(K10&gt;=100000,"Great Sale",K10&gt;=50000,"Good Sale",K10&gt;=30,"Avg Sale",K10&lt;=10000,"Poor Sale")</f>
        <v>Avg Sale</v>
      </c>
      <c r="N10" s="50" t="s">
        <v>32</v>
      </c>
      <c r="O10" s="55">
        <f t="shared" si="1"/>
        <v>30000</v>
      </c>
      <c r="P10" s="45">
        <f t="shared" si="2"/>
        <v>30000</v>
      </c>
    </row>
    <row r="11" spans="1:16" x14ac:dyDescent="0.3">
      <c r="A11" s="50">
        <v>1009</v>
      </c>
      <c r="B11" s="42">
        <v>46239</v>
      </c>
      <c r="C11" s="41" t="s">
        <v>37</v>
      </c>
      <c r="D11" s="41" t="s">
        <v>38</v>
      </c>
      <c r="E11" s="41" t="s">
        <v>78</v>
      </c>
      <c r="F11" s="41" t="s">
        <v>13</v>
      </c>
      <c r="G11" s="41">
        <v>2</v>
      </c>
      <c r="H11" s="43">
        <v>18000</v>
      </c>
      <c r="I11" s="41" t="s">
        <v>14</v>
      </c>
      <c r="J11" s="41" t="s">
        <v>16</v>
      </c>
      <c r="K11" s="44">
        <f t="shared" si="0"/>
        <v>36000</v>
      </c>
      <c r="L11" s="51" t="str" cm="1">
        <f t="array" ref="L11">_xlfn.IFS(K11&gt;=100000,"Great Sale",K11&gt;=50000,"Good Sale",K11&gt;=30,"Avg Sale",K11&lt;=10000,"Poor Sale")</f>
        <v>Avg Sale</v>
      </c>
      <c r="N11" s="50" t="s">
        <v>35</v>
      </c>
      <c r="O11" s="55">
        <f t="shared" si="1"/>
        <v>199000</v>
      </c>
      <c r="P11" s="45">
        <f t="shared" si="2"/>
        <v>66333.333333333328</v>
      </c>
    </row>
    <row r="12" spans="1:16" x14ac:dyDescent="0.3">
      <c r="A12" s="50">
        <v>1010</v>
      </c>
      <c r="B12" s="42">
        <v>46239</v>
      </c>
      <c r="C12" s="41" t="s">
        <v>21</v>
      </c>
      <c r="D12" s="41" t="s">
        <v>30</v>
      </c>
      <c r="E12" s="41" t="s">
        <v>23</v>
      </c>
      <c r="F12" s="41" t="s">
        <v>24</v>
      </c>
      <c r="G12" s="41">
        <v>3</v>
      </c>
      <c r="H12" s="43">
        <v>1500</v>
      </c>
      <c r="I12" s="41" t="s">
        <v>19</v>
      </c>
      <c r="J12" s="41" t="s">
        <v>20</v>
      </c>
      <c r="K12" s="44">
        <f t="shared" si="0"/>
        <v>4500</v>
      </c>
      <c r="L12" s="51" t="str" cm="1">
        <f t="array" ref="L12">_xlfn.IFS(K12&gt;=100000,"Great Sale",K12&gt;=50000,"Good Sale",K12&gt;=30,"Avg Sale",K12&lt;=10000,"Poor Sale")</f>
        <v>Avg Sale</v>
      </c>
      <c r="N12" s="50" t="s">
        <v>37</v>
      </c>
      <c r="O12" s="55">
        <f t="shared" si="1"/>
        <v>36000</v>
      </c>
      <c r="P12" s="45">
        <f t="shared" si="2"/>
        <v>36000</v>
      </c>
    </row>
    <row r="13" spans="1:16" x14ac:dyDescent="0.3">
      <c r="A13" s="50">
        <v>1011</v>
      </c>
      <c r="B13" s="42">
        <v>46240</v>
      </c>
      <c r="C13" s="41" t="s">
        <v>40</v>
      </c>
      <c r="D13" s="41" t="s">
        <v>11</v>
      </c>
      <c r="E13" s="41" t="s">
        <v>28</v>
      </c>
      <c r="F13" s="41" t="s">
        <v>24</v>
      </c>
      <c r="G13" s="41">
        <v>6</v>
      </c>
      <c r="H13" s="43">
        <v>700</v>
      </c>
      <c r="I13" s="41" t="s">
        <v>14</v>
      </c>
      <c r="J13" s="41" t="s">
        <v>26</v>
      </c>
      <c r="K13" s="44">
        <f t="shared" si="0"/>
        <v>4200</v>
      </c>
      <c r="L13" s="51" t="str" cm="1">
        <f t="array" ref="L13">_xlfn.IFS(K13&gt;=100000,"Great Sale",K13&gt;=50000,"Good Sale",K13&gt;=30,"Avg Sale",K13&lt;=10000,"Poor Sale")</f>
        <v>Avg Sale</v>
      </c>
      <c r="N13" s="50" t="s">
        <v>40</v>
      </c>
      <c r="O13" s="55">
        <f t="shared" si="1"/>
        <v>4200</v>
      </c>
      <c r="P13" s="45">
        <f t="shared" si="2"/>
        <v>4200</v>
      </c>
    </row>
    <row r="14" spans="1:16" x14ac:dyDescent="0.3">
      <c r="A14" s="50">
        <v>1012</v>
      </c>
      <c r="B14" s="42">
        <v>46240</v>
      </c>
      <c r="C14" s="41" t="s">
        <v>41</v>
      </c>
      <c r="D14" s="41" t="s">
        <v>22</v>
      </c>
      <c r="E14" s="41" t="s">
        <v>12</v>
      </c>
      <c r="F14" s="41" t="s">
        <v>13</v>
      </c>
      <c r="G14" s="41">
        <v>1</v>
      </c>
      <c r="H14" s="43">
        <v>58000</v>
      </c>
      <c r="I14" s="41" t="s">
        <v>19</v>
      </c>
      <c r="J14" s="41" t="s">
        <v>15</v>
      </c>
      <c r="K14" s="44">
        <f t="shared" si="0"/>
        <v>58000</v>
      </c>
      <c r="L14" s="51" t="str" cm="1">
        <f t="array" ref="L14">_xlfn.IFS(K14&gt;=100000,"Great Sale",K14&gt;=50000,"Good Sale",K14&gt;=30,"Avg Sale",K14&lt;=10000,"Poor Sale")</f>
        <v>Good Sale</v>
      </c>
      <c r="N14" s="50" t="s">
        <v>41</v>
      </c>
      <c r="O14" s="55">
        <f t="shared" si="1"/>
        <v>58000</v>
      </c>
      <c r="P14" s="45">
        <f t="shared" si="2"/>
        <v>58000</v>
      </c>
    </row>
    <row r="15" spans="1:16" x14ac:dyDescent="0.3">
      <c r="A15" s="50">
        <v>1013</v>
      </c>
      <c r="B15" s="42">
        <v>46241</v>
      </c>
      <c r="C15" s="41" t="s">
        <v>42</v>
      </c>
      <c r="D15" s="41" t="s">
        <v>17</v>
      </c>
      <c r="E15" s="41" t="s">
        <v>33</v>
      </c>
      <c r="F15" s="41" t="s">
        <v>13</v>
      </c>
      <c r="G15" s="41">
        <v>3</v>
      </c>
      <c r="H15" s="43">
        <v>13500</v>
      </c>
      <c r="I15" s="41" t="s">
        <v>14</v>
      </c>
      <c r="J15" s="41" t="s">
        <v>16</v>
      </c>
      <c r="K15" s="44">
        <f t="shared" si="0"/>
        <v>40500</v>
      </c>
      <c r="L15" s="51" t="str" cm="1">
        <f t="array" ref="L15">_xlfn.IFS(K15&gt;=100000,"Great Sale",K15&gt;=50000,"Good Sale",K15&gt;=30,"Avg Sale",K15&lt;=10000,"Poor Sale")</f>
        <v>Avg Sale</v>
      </c>
      <c r="N15" s="50" t="s">
        <v>42</v>
      </c>
      <c r="O15" s="55">
        <f t="shared" si="1"/>
        <v>40500</v>
      </c>
      <c r="P15" s="45">
        <f t="shared" si="2"/>
        <v>40500</v>
      </c>
    </row>
    <row r="16" spans="1:16" x14ac:dyDescent="0.3">
      <c r="A16" s="50">
        <v>1014</v>
      </c>
      <c r="B16" s="42">
        <v>46241</v>
      </c>
      <c r="C16" s="41" t="s">
        <v>43</v>
      </c>
      <c r="D16" s="41" t="s">
        <v>38</v>
      </c>
      <c r="E16" s="41" t="s">
        <v>31</v>
      </c>
      <c r="F16" s="41" t="s">
        <v>24</v>
      </c>
      <c r="G16" s="41">
        <v>4</v>
      </c>
      <c r="H16" s="43">
        <v>2200</v>
      </c>
      <c r="I16" s="41" t="s">
        <v>25</v>
      </c>
      <c r="J16" s="41" t="s">
        <v>20</v>
      </c>
      <c r="K16" s="44">
        <f t="shared" si="0"/>
        <v>8800</v>
      </c>
      <c r="L16" s="51" t="str" cm="1">
        <f t="array" ref="L16">_xlfn.IFS(K16&gt;=100000,"Great Sale",K16&gt;=50000,"Good Sale",K16&gt;=30,"Avg Sale",K16&lt;=10000,"Poor Sale")</f>
        <v>Avg Sale</v>
      </c>
      <c r="N16" s="50" t="s">
        <v>43</v>
      </c>
      <c r="O16" s="55">
        <f t="shared" si="1"/>
        <v>8800</v>
      </c>
      <c r="P16" s="45">
        <f t="shared" si="2"/>
        <v>8800</v>
      </c>
    </row>
    <row r="17" spans="1:16" x14ac:dyDescent="0.3">
      <c r="A17" s="50">
        <v>1015</v>
      </c>
      <c r="B17" s="42">
        <v>46242</v>
      </c>
      <c r="C17" s="41" t="s">
        <v>44</v>
      </c>
      <c r="D17" s="41" t="s">
        <v>30</v>
      </c>
      <c r="E17" s="41" t="s">
        <v>36</v>
      </c>
      <c r="F17" s="41" t="s">
        <v>13</v>
      </c>
      <c r="G17" s="41">
        <v>1</v>
      </c>
      <c r="H17" s="43">
        <v>11000</v>
      </c>
      <c r="I17" s="41" t="s">
        <v>19</v>
      </c>
      <c r="J17" s="41" t="s">
        <v>26</v>
      </c>
      <c r="K17" s="44">
        <f t="shared" si="0"/>
        <v>11000</v>
      </c>
      <c r="L17" s="51" t="str" cm="1">
        <f t="array" ref="L17">_xlfn.IFS(K17&gt;=100000,"Great Sale",K17&gt;=50000,"Good Sale",K17&gt;=30,"Avg Sale",K17&lt;=10000,"Poor Sale")</f>
        <v>Avg Sale</v>
      </c>
      <c r="N17" s="50" t="s">
        <v>44</v>
      </c>
      <c r="O17" s="55">
        <f t="shared" si="1"/>
        <v>11000</v>
      </c>
      <c r="P17" s="45">
        <f t="shared" si="2"/>
        <v>11000</v>
      </c>
    </row>
    <row r="18" spans="1:16" x14ac:dyDescent="0.3">
      <c r="A18" s="50">
        <v>1016</v>
      </c>
      <c r="B18" s="42">
        <v>46242</v>
      </c>
      <c r="C18" s="41" t="s">
        <v>45</v>
      </c>
      <c r="D18" s="41" t="s">
        <v>87</v>
      </c>
      <c r="E18" s="41" t="s">
        <v>18</v>
      </c>
      <c r="F18" s="41" t="s">
        <v>13</v>
      </c>
      <c r="G18" s="41">
        <v>3</v>
      </c>
      <c r="H18" s="43">
        <v>25000</v>
      </c>
      <c r="I18" s="41" t="s">
        <v>14</v>
      </c>
      <c r="J18" s="41" t="s">
        <v>15</v>
      </c>
      <c r="K18" s="44">
        <f t="shared" si="0"/>
        <v>75000</v>
      </c>
      <c r="L18" s="51" t="str" cm="1">
        <f t="array" ref="L18">_xlfn.IFS(K18&gt;=100000,"Great Sale",K18&gt;=50000,"Good Sale",K18&gt;=30,"Avg Sale",K18&lt;=10000,"Poor Sale")</f>
        <v>Good Sale</v>
      </c>
      <c r="N18" s="50" t="s">
        <v>45</v>
      </c>
      <c r="O18" s="55">
        <f t="shared" si="1"/>
        <v>106500</v>
      </c>
      <c r="P18" s="45">
        <f t="shared" si="2"/>
        <v>35500</v>
      </c>
    </row>
    <row r="19" spans="1:16" x14ac:dyDescent="0.3">
      <c r="A19" s="50">
        <v>1017</v>
      </c>
      <c r="B19" s="42">
        <v>46243</v>
      </c>
      <c r="C19" s="41" t="s">
        <v>45</v>
      </c>
      <c r="D19" s="41" t="s">
        <v>22</v>
      </c>
      <c r="E19" s="41" t="s">
        <v>23</v>
      </c>
      <c r="F19" s="41" t="s">
        <v>24</v>
      </c>
      <c r="G19" s="41">
        <v>5</v>
      </c>
      <c r="H19" s="43">
        <v>1300</v>
      </c>
      <c r="I19" s="41" t="s">
        <v>25</v>
      </c>
      <c r="J19" s="41" t="s">
        <v>16</v>
      </c>
      <c r="K19" s="44">
        <f t="shared" si="0"/>
        <v>6500</v>
      </c>
      <c r="L19" s="51" t="str" cm="1">
        <f t="array" ref="L19">_xlfn.IFS(K19&gt;=100000,"Great Sale",K19&gt;=50000,"Good Sale",K19&gt;=30,"Avg Sale",K19&lt;=10000,"Poor Sale")</f>
        <v>Avg Sale</v>
      </c>
      <c r="N19" s="50" t="s">
        <v>47</v>
      </c>
      <c r="O19" s="55">
        <f t="shared" si="1"/>
        <v>5200</v>
      </c>
      <c r="P19" s="45">
        <f t="shared" si="2"/>
        <v>5200</v>
      </c>
    </row>
    <row r="20" spans="1:16" x14ac:dyDescent="0.3">
      <c r="A20" s="50">
        <v>1018</v>
      </c>
      <c r="B20" s="42">
        <v>46243</v>
      </c>
      <c r="C20" s="41" t="s">
        <v>47</v>
      </c>
      <c r="D20" s="41" t="s">
        <v>17</v>
      </c>
      <c r="E20" s="41" t="s">
        <v>28</v>
      </c>
      <c r="F20" s="41" t="s">
        <v>24</v>
      </c>
      <c r="G20" s="41">
        <v>8</v>
      </c>
      <c r="H20" s="43">
        <v>650</v>
      </c>
      <c r="I20" s="41" t="s">
        <v>19</v>
      </c>
      <c r="J20" s="41" t="s">
        <v>20</v>
      </c>
      <c r="K20" s="44">
        <f t="shared" si="0"/>
        <v>5200</v>
      </c>
      <c r="L20" s="51" t="str" cm="1">
        <f t="array" ref="L20">_xlfn.IFS(K20&gt;=100000,"Great Sale",K20&gt;=50000,"Good Sale",K20&gt;=30,"Avg Sale",K20&lt;=10000,"Poor Sale")</f>
        <v>Avg Sale</v>
      </c>
      <c r="N20" s="50" t="s">
        <v>20</v>
      </c>
      <c r="O20" s="55">
        <f t="shared" si="1"/>
        <v>138000</v>
      </c>
      <c r="P20" s="45">
        <f t="shared" si="2"/>
        <v>69000</v>
      </c>
    </row>
    <row r="21" spans="1:16" x14ac:dyDescent="0.3">
      <c r="A21" s="50">
        <v>1019</v>
      </c>
      <c r="B21" s="42">
        <v>46244</v>
      </c>
      <c r="C21" s="41" t="s">
        <v>20</v>
      </c>
      <c r="D21" s="41" t="s">
        <v>38</v>
      </c>
      <c r="E21" s="41" t="s">
        <v>12</v>
      </c>
      <c r="F21" s="41" t="s">
        <v>13</v>
      </c>
      <c r="G21" s="41">
        <v>2</v>
      </c>
      <c r="H21" s="43">
        <v>60000</v>
      </c>
      <c r="I21" s="41" t="s">
        <v>14</v>
      </c>
      <c r="J21" s="41" t="s">
        <v>26</v>
      </c>
      <c r="K21" s="44">
        <f t="shared" si="0"/>
        <v>120000</v>
      </c>
      <c r="L21" s="51" t="str" cm="1">
        <f t="array" ref="L21">_xlfn.IFS(K21&gt;=100000,"Great Sale",K21&gt;=50000,"Good Sale",K21&gt;=30,"Avg Sale",K21&lt;=10000,"Poor Sale")</f>
        <v>Great Sale</v>
      </c>
      <c r="N21" s="50" t="s">
        <v>50</v>
      </c>
      <c r="O21" s="55">
        <f t="shared" si="1"/>
        <v>8400</v>
      </c>
      <c r="P21" s="45">
        <f t="shared" si="2"/>
        <v>8400</v>
      </c>
    </row>
    <row r="22" spans="1:16" x14ac:dyDescent="0.3">
      <c r="A22" s="50">
        <v>1020</v>
      </c>
      <c r="B22" s="42">
        <v>46244</v>
      </c>
      <c r="C22" s="41" t="s">
        <v>10</v>
      </c>
      <c r="D22" s="41" t="s">
        <v>30</v>
      </c>
      <c r="E22" s="41" t="s">
        <v>33</v>
      </c>
      <c r="F22" s="41" t="s">
        <v>13</v>
      </c>
      <c r="G22" s="41">
        <v>1</v>
      </c>
      <c r="H22" s="43">
        <v>16000</v>
      </c>
      <c r="I22" s="41" t="s">
        <v>19</v>
      </c>
      <c r="J22" s="41" t="s">
        <v>15</v>
      </c>
      <c r="K22" s="44">
        <f t="shared" si="0"/>
        <v>16000</v>
      </c>
      <c r="L22" s="51" t="str" cm="1">
        <f t="array" ref="L22">_xlfn.IFS(K22&gt;=100000,"Great Sale",K22&gt;=50000,"Good Sale",K22&gt;=30,"Avg Sale",K22&lt;=10000,"Poor Sale")</f>
        <v>Avg Sale</v>
      </c>
      <c r="N22" s="50" t="s">
        <v>52</v>
      </c>
      <c r="O22" s="55">
        <f t="shared" si="1"/>
        <v>5600</v>
      </c>
      <c r="P22" s="45">
        <f t="shared" si="2"/>
        <v>5600</v>
      </c>
    </row>
    <row r="23" spans="1:16" x14ac:dyDescent="0.3">
      <c r="A23" s="50">
        <v>1021</v>
      </c>
      <c r="B23" s="42">
        <v>46245</v>
      </c>
      <c r="C23" s="41" t="s">
        <v>20</v>
      </c>
      <c r="D23" s="41" t="s">
        <v>11</v>
      </c>
      <c r="E23" s="41" t="s">
        <v>36</v>
      </c>
      <c r="F23" s="41" t="s">
        <v>13</v>
      </c>
      <c r="G23" s="41">
        <v>2</v>
      </c>
      <c r="H23" s="43">
        <v>9000</v>
      </c>
      <c r="I23" s="41" t="s">
        <v>14</v>
      </c>
      <c r="J23" s="41" t="s">
        <v>16</v>
      </c>
      <c r="K23" s="44">
        <f t="shared" si="0"/>
        <v>18000</v>
      </c>
      <c r="L23" s="51" t="str" cm="1">
        <f t="array" ref="L23">_xlfn.IFS(K23&gt;=100000,"Great Sale",K23&gt;=50000,"Good Sale",K23&gt;=30,"Avg Sale",K23&lt;=10000,"Poor Sale")</f>
        <v>Avg Sale</v>
      </c>
      <c r="N23" s="50" t="s">
        <v>53</v>
      </c>
      <c r="O23" s="55">
        <f t="shared" si="1"/>
        <v>3750</v>
      </c>
      <c r="P23" s="45">
        <f t="shared" si="2"/>
        <v>3750</v>
      </c>
    </row>
    <row r="24" spans="1:16" x14ac:dyDescent="0.3">
      <c r="A24" s="50">
        <v>1022</v>
      </c>
      <c r="B24" s="42">
        <v>46245</v>
      </c>
      <c r="C24" s="41" t="s">
        <v>50</v>
      </c>
      <c r="D24" s="41" t="s">
        <v>22</v>
      </c>
      <c r="E24" s="41" t="s">
        <v>31</v>
      </c>
      <c r="F24" s="41" t="s">
        <v>24</v>
      </c>
      <c r="G24" s="41">
        <v>3</v>
      </c>
      <c r="H24" s="43">
        <v>2800</v>
      </c>
      <c r="I24" s="41" t="s">
        <v>25</v>
      </c>
      <c r="J24" s="41" t="s">
        <v>20</v>
      </c>
      <c r="K24" s="44">
        <f t="shared" si="0"/>
        <v>8400</v>
      </c>
      <c r="L24" s="51" t="str" cm="1">
        <f t="array" ref="L24">_xlfn.IFS(K24&gt;=100000,"Great Sale",K24&gt;=50000,"Good Sale",K24&gt;=30,"Avg Sale",K24&lt;=10000,"Poor Sale")</f>
        <v>Avg Sale</v>
      </c>
      <c r="N24" s="50" t="s">
        <v>92</v>
      </c>
      <c r="O24" s="55">
        <f t="shared" si="1"/>
        <v>65000</v>
      </c>
      <c r="P24" s="45">
        <f t="shared" si="2"/>
        <v>65000</v>
      </c>
    </row>
    <row r="25" spans="1:16" x14ac:dyDescent="0.3">
      <c r="A25" s="50">
        <v>1023</v>
      </c>
      <c r="B25" s="42">
        <v>46246</v>
      </c>
      <c r="C25" s="41" t="s">
        <v>10</v>
      </c>
      <c r="D25" s="41" t="s">
        <v>17</v>
      </c>
      <c r="E25" s="41" t="s">
        <v>18</v>
      </c>
      <c r="F25" s="41" t="s">
        <v>13</v>
      </c>
      <c r="G25" s="41">
        <v>2</v>
      </c>
      <c r="H25" s="43">
        <v>21000</v>
      </c>
      <c r="I25" s="41" t="s">
        <v>19</v>
      </c>
      <c r="J25" s="41" t="s">
        <v>26</v>
      </c>
      <c r="K25" s="44">
        <f t="shared" si="0"/>
        <v>42000</v>
      </c>
      <c r="L25" s="51" t="str" cm="1">
        <f t="array" ref="L25">_xlfn.IFS(K25&gt;=100000,"Great Sale",K25&gt;=50000,"Good Sale",K25&gt;=30,"Avg Sale",K25&lt;=10000,"Poor Sale")</f>
        <v>Avg Sale</v>
      </c>
      <c r="N25" s="50" t="s">
        <v>55</v>
      </c>
      <c r="O25" s="55">
        <f t="shared" si="1"/>
        <v>29000</v>
      </c>
      <c r="P25" s="45">
        <f t="shared" si="2"/>
        <v>29000</v>
      </c>
    </row>
    <row r="26" spans="1:16" x14ac:dyDescent="0.3">
      <c r="A26" s="50">
        <v>1024</v>
      </c>
      <c r="B26" s="42">
        <v>46246</v>
      </c>
      <c r="C26" s="41" t="s">
        <v>52</v>
      </c>
      <c r="D26" s="41" t="s">
        <v>38</v>
      </c>
      <c r="E26" s="41" t="s">
        <v>23</v>
      </c>
      <c r="F26" s="41" t="s">
        <v>24</v>
      </c>
      <c r="G26" s="41">
        <v>4</v>
      </c>
      <c r="H26" s="43">
        <v>1400</v>
      </c>
      <c r="I26" s="41" t="s">
        <v>14</v>
      </c>
      <c r="J26" s="41" t="s">
        <v>15</v>
      </c>
      <c r="K26" s="44">
        <f t="shared" si="0"/>
        <v>5600</v>
      </c>
      <c r="L26" s="51" t="str" cm="1">
        <f t="array" ref="L26">_xlfn.IFS(K26&gt;=100000,"Great Sale",K26&gt;=50000,"Good Sale",K26&gt;=30,"Avg Sale",K26&lt;=10000,"Poor Sale")</f>
        <v>Avg Sale</v>
      </c>
      <c r="N26" s="50" t="s">
        <v>56</v>
      </c>
      <c r="O26" s="55">
        <f t="shared" si="1"/>
        <v>25500</v>
      </c>
      <c r="P26" s="45">
        <f t="shared" si="2"/>
        <v>25500</v>
      </c>
    </row>
    <row r="27" spans="1:16" x14ac:dyDescent="0.3">
      <c r="A27" s="50">
        <v>1025</v>
      </c>
      <c r="B27" s="42">
        <v>46247</v>
      </c>
      <c r="C27" s="41" t="s">
        <v>53</v>
      </c>
      <c r="D27" s="41" t="s">
        <v>30</v>
      </c>
      <c r="E27" s="41" t="s">
        <v>28</v>
      </c>
      <c r="F27" s="41" t="s">
        <v>24</v>
      </c>
      <c r="G27" s="41">
        <v>5</v>
      </c>
      <c r="H27" s="43">
        <v>750</v>
      </c>
      <c r="I27" s="41" t="s">
        <v>25</v>
      </c>
      <c r="J27" s="41" t="s">
        <v>16</v>
      </c>
      <c r="K27" s="44">
        <f t="shared" si="0"/>
        <v>3750</v>
      </c>
      <c r="L27" s="51" t="str" cm="1">
        <f t="array" ref="L27">_xlfn.IFS(K27&gt;=100000,"Great Sale",K27&gt;=50000,"Good Sale",K27&gt;=30,"Avg Sale",K27&lt;=10000,"Poor Sale")</f>
        <v>Avg Sale</v>
      </c>
      <c r="N27" s="50" t="s">
        <v>57</v>
      </c>
      <c r="O27" s="55">
        <f t="shared" si="1"/>
        <v>23000</v>
      </c>
      <c r="P27" s="45">
        <f t="shared" si="2"/>
        <v>23000</v>
      </c>
    </row>
    <row r="28" spans="1:16" x14ac:dyDescent="0.3">
      <c r="A28" s="50">
        <v>1026</v>
      </c>
      <c r="B28" s="42">
        <v>46247</v>
      </c>
      <c r="C28" s="41" t="s">
        <v>92</v>
      </c>
      <c r="D28" s="41" t="s">
        <v>11</v>
      </c>
      <c r="E28" s="41" t="s">
        <v>12</v>
      </c>
      <c r="F28" s="41" t="s">
        <v>13</v>
      </c>
      <c r="G28" s="41">
        <v>1</v>
      </c>
      <c r="H28" s="43">
        <v>65000</v>
      </c>
      <c r="I28" s="41" t="s">
        <v>19</v>
      </c>
      <c r="J28" s="41" t="s">
        <v>20</v>
      </c>
      <c r="K28" s="44">
        <f t="shared" si="0"/>
        <v>65000</v>
      </c>
      <c r="L28" s="51" t="str" cm="1">
        <f t="array" ref="L28">_xlfn.IFS(K28&gt;=100000,"Great Sale",K28&gt;=50000,"Good Sale",K28&gt;=30,"Avg Sale",K28&lt;=10000,"Poor Sale")</f>
        <v>Good Sale</v>
      </c>
      <c r="N28" s="50" t="s">
        <v>58</v>
      </c>
      <c r="O28" s="55">
        <f t="shared" si="1"/>
        <v>6000</v>
      </c>
      <c r="P28" s="45">
        <f t="shared" si="2"/>
        <v>6000</v>
      </c>
    </row>
    <row r="29" spans="1:16" x14ac:dyDescent="0.3">
      <c r="A29" s="50">
        <v>1027</v>
      </c>
      <c r="B29" s="42">
        <v>46248</v>
      </c>
      <c r="C29" s="41" t="s">
        <v>55</v>
      </c>
      <c r="D29" s="41" t="s">
        <v>22</v>
      </c>
      <c r="E29" s="41" t="s">
        <v>33</v>
      </c>
      <c r="F29" s="41" t="s">
        <v>13</v>
      </c>
      <c r="G29" s="41">
        <v>2</v>
      </c>
      <c r="H29" s="43">
        <v>14500</v>
      </c>
      <c r="I29" s="41" t="s">
        <v>14</v>
      </c>
      <c r="J29" s="41" t="s">
        <v>26</v>
      </c>
      <c r="K29" s="44">
        <f t="shared" si="0"/>
        <v>29000</v>
      </c>
      <c r="L29" s="51" t="str" cm="1">
        <f t="array" ref="L29">_xlfn.IFS(K29&gt;=100000,"Great Sale",K29&gt;=50000,"Good Sale",K29&gt;=30,"Avg Sale",K29&lt;=10000,"Poor Sale")</f>
        <v>Avg Sale</v>
      </c>
      <c r="N29" s="50" t="s">
        <v>59</v>
      </c>
      <c r="O29" s="55">
        <f t="shared" si="1"/>
        <v>7700</v>
      </c>
      <c r="P29" s="45">
        <f t="shared" si="2"/>
        <v>7700</v>
      </c>
    </row>
    <row r="30" spans="1:16" x14ac:dyDescent="0.3">
      <c r="A30" s="50">
        <v>1028</v>
      </c>
      <c r="B30" s="42">
        <v>46248</v>
      </c>
      <c r="C30" s="41" t="s">
        <v>56</v>
      </c>
      <c r="D30" s="41" t="s">
        <v>17</v>
      </c>
      <c r="E30" s="41" t="s">
        <v>36</v>
      </c>
      <c r="F30" s="41" t="s">
        <v>13</v>
      </c>
      <c r="G30" s="41">
        <v>3</v>
      </c>
      <c r="H30" s="43">
        <v>8500</v>
      </c>
      <c r="I30" s="41" t="s">
        <v>19</v>
      </c>
      <c r="J30" s="41" t="s">
        <v>15</v>
      </c>
      <c r="K30" s="44">
        <f t="shared" si="0"/>
        <v>25500</v>
      </c>
      <c r="L30" s="51" t="str" cm="1">
        <f t="array" ref="L30">_xlfn.IFS(K30&gt;=100000,"Great Sale",K30&gt;=50000,"Good Sale",K30&gt;=30,"Avg Sale",K30&lt;=10000,"Poor Sale")</f>
        <v>Avg Sale</v>
      </c>
      <c r="N30" s="50" t="s">
        <v>60</v>
      </c>
      <c r="O30" s="55">
        <f t="shared" si="1"/>
        <v>3600</v>
      </c>
      <c r="P30" s="45">
        <f t="shared" si="2"/>
        <v>3600</v>
      </c>
    </row>
    <row r="31" spans="1:16" x14ac:dyDescent="0.3">
      <c r="A31" s="50">
        <v>1029</v>
      </c>
      <c r="B31" s="42">
        <v>46249</v>
      </c>
      <c r="C31" s="41" t="s">
        <v>57</v>
      </c>
      <c r="D31" s="41" t="s">
        <v>38</v>
      </c>
      <c r="E31" s="41" t="s">
        <v>18</v>
      </c>
      <c r="F31" s="41" t="s">
        <v>13</v>
      </c>
      <c r="G31" s="41">
        <v>1</v>
      </c>
      <c r="H31" s="43">
        <v>23000</v>
      </c>
      <c r="I31" s="41" t="s">
        <v>25</v>
      </c>
      <c r="J31" s="41" t="s">
        <v>16</v>
      </c>
      <c r="K31" s="44">
        <f t="shared" si="0"/>
        <v>23000</v>
      </c>
      <c r="L31" s="51" t="str" cm="1">
        <f t="array" ref="L31">_xlfn.IFS(K31&gt;=100000,"Great Sale",K31&gt;=50000,"Good Sale",K31&gt;=30,"Avg Sale",K31&lt;=10000,"Poor Sale")</f>
        <v>Avg Sale</v>
      </c>
      <c r="N31" s="50" t="s">
        <v>61</v>
      </c>
      <c r="O31" s="55">
        <f t="shared" si="1"/>
        <v>114000</v>
      </c>
      <c r="P31" s="45">
        <f t="shared" si="2"/>
        <v>114000</v>
      </c>
    </row>
    <row r="32" spans="1:16" x14ac:dyDescent="0.3">
      <c r="A32" s="50">
        <v>1030</v>
      </c>
      <c r="B32" s="42">
        <v>46249</v>
      </c>
      <c r="C32" s="41" t="s">
        <v>58</v>
      </c>
      <c r="D32" s="41" t="s">
        <v>30</v>
      </c>
      <c r="E32" s="41" t="s">
        <v>31</v>
      </c>
      <c r="F32" s="41" t="s">
        <v>24</v>
      </c>
      <c r="G32" s="41">
        <v>2</v>
      </c>
      <c r="H32" s="43">
        <v>3000</v>
      </c>
      <c r="I32" s="41" t="s">
        <v>14</v>
      </c>
      <c r="J32" s="41" t="s">
        <v>20</v>
      </c>
      <c r="K32" s="44">
        <f t="shared" si="0"/>
        <v>6000</v>
      </c>
      <c r="L32" s="51" t="str" cm="1">
        <f t="array" ref="L32">_xlfn.IFS(K32&gt;=100000,"Great Sale",K32&gt;=50000,"Good Sale",K32&gt;=30,"Avg Sale",K32&lt;=10000,"Poor Sale")</f>
        <v>Avg Sale</v>
      </c>
      <c r="N32" s="50" t="s">
        <v>63</v>
      </c>
      <c r="O32" s="55">
        <f t="shared" si="1"/>
        <v>20000</v>
      </c>
      <c r="P32" s="45">
        <f t="shared" si="2"/>
        <v>20000</v>
      </c>
    </row>
    <row r="33" spans="1:16" x14ac:dyDescent="0.3">
      <c r="A33" s="50">
        <v>1031</v>
      </c>
      <c r="B33" s="42">
        <v>46250</v>
      </c>
      <c r="C33" s="41" t="s">
        <v>59</v>
      </c>
      <c r="D33" s="41" t="s">
        <v>11</v>
      </c>
      <c r="E33" s="41" t="s">
        <v>23</v>
      </c>
      <c r="F33" s="41" t="s">
        <v>24</v>
      </c>
      <c r="G33" s="41">
        <v>7</v>
      </c>
      <c r="H33" s="43">
        <v>1100</v>
      </c>
      <c r="I33" s="41" t="s">
        <v>19</v>
      </c>
      <c r="J33" s="41" t="s">
        <v>26</v>
      </c>
      <c r="K33" s="44">
        <f t="shared" si="0"/>
        <v>7700</v>
      </c>
      <c r="L33" s="51" t="str" cm="1">
        <f t="array" ref="L33">_xlfn.IFS(K33&gt;=100000,"Great Sale",K33&gt;=50000,"Good Sale",K33&gt;=30,"Avg Sale",K33&lt;=10000,"Poor Sale")</f>
        <v>Avg Sale</v>
      </c>
      <c r="N33" s="50" t="s">
        <v>65</v>
      </c>
      <c r="O33" s="55">
        <f t="shared" si="1"/>
        <v>4800</v>
      </c>
      <c r="P33" s="45">
        <f t="shared" si="2"/>
        <v>4800</v>
      </c>
    </row>
    <row r="34" spans="1:16" x14ac:dyDescent="0.3">
      <c r="A34" s="50">
        <v>1032</v>
      </c>
      <c r="B34" s="42">
        <v>46250</v>
      </c>
      <c r="C34" s="41" t="s">
        <v>60</v>
      </c>
      <c r="D34" s="41" t="s">
        <v>22</v>
      </c>
      <c r="E34" s="41" t="s">
        <v>28</v>
      </c>
      <c r="F34" s="41" t="s">
        <v>24</v>
      </c>
      <c r="G34" s="41">
        <v>4</v>
      </c>
      <c r="H34" s="43">
        <v>900</v>
      </c>
      <c r="I34" s="41" t="s">
        <v>14</v>
      </c>
      <c r="J34" s="41" t="s">
        <v>15</v>
      </c>
      <c r="K34" s="44">
        <f t="shared" si="0"/>
        <v>3600</v>
      </c>
      <c r="L34" s="51" t="str" cm="1">
        <f t="array" ref="L34">_xlfn.IFS(K34&gt;=100000,"Great Sale",K34&gt;=50000,"Good Sale",K34&gt;=30,"Avg Sale",K34&lt;=10000,"Poor Sale")</f>
        <v>Avg Sale</v>
      </c>
      <c r="N34" s="50" t="s">
        <v>66</v>
      </c>
      <c r="O34" s="55">
        <f t="shared" si="1"/>
        <v>5100</v>
      </c>
      <c r="P34" s="45">
        <f t="shared" si="2"/>
        <v>5100</v>
      </c>
    </row>
    <row r="35" spans="1:16" x14ac:dyDescent="0.3">
      <c r="A35" s="50">
        <v>1033</v>
      </c>
      <c r="B35" s="42">
        <v>46251</v>
      </c>
      <c r="C35" s="41" t="s">
        <v>61</v>
      </c>
      <c r="D35" s="41" t="s">
        <v>17</v>
      </c>
      <c r="E35" s="41" t="s">
        <v>12</v>
      </c>
      <c r="F35" s="41" t="s">
        <v>13</v>
      </c>
      <c r="G35" s="41">
        <v>2</v>
      </c>
      <c r="H35" s="43">
        <v>57000</v>
      </c>
      <c r="I35" s="41" t="s">
        <v>19</v>
      </c>
      <c r="J35" s="41" t="s">
        <v>16</v>
      </c>
      <c r="K35" s="44">
        <f t="shared" si="0"/>
        <v>114000</v>
      </c>
      <c r="L35" s="51" t="str" cm="1">
        <f t="array" ref="L35">_xlfn.IFS(K35&gt;=100000,"Great Sale",K35&gt;=50000,"Good Sale",K35&gt;=30,"Avg Sale",K35&lt;=10000,"Poor Sale")</f>
        <v>Great Sale</v>
      </c>
      <c r="N35" s="50" t="s">
        <v>67</v>
      </c>
      <c r="O35" s="55">
        <f t="shared" si="1"/>
        <v>61000</v>
      </c>
      <c r="P35" s="45">
        <f t="shared" si="2"/>
        <v>61000</v>
      </c>
    </row>
    <row r="36" spans="1:16" x14ac:dyDescent="0.3">
      <c r="A36" s="50">
        <v>1034</v>
      </c>
      <c r="B36" s="42">
        <v>46251</v>
      </c>
      <c r="C36" s="41" t="s">
        <v>10</v>
      </c>
      <c r="D36" s="41" t="s">
        <v>38</v>
      </c>
      <c r="E36" s="41" t="s">
        <v>33</v>
      </c>
      <c r="F36" s="41" t="s">
        <v>13</v>
      </c>
      <c r="G36" s="41">
        <v>1</v>
      </c>
      <c r="H36" s="43">
        <v>15500</v>
      </c>
      <c r="I36" s="41" t="s">
        <v>25</v>
      </c>
      <c r="J36" s="41" t="s">
        <v>20</v>
      </c>
      <c r="K36" s="44">
        <f t="shared" si="0"/>
        <v>15500</v>
      </c>
      <c r="L36" s="51" t="str" cm="1">
        <f t="array" ref="L36">_xlfn.IFS(K36&gt;=100000,"Great Sale",K36&gt;=50000,"Good Sale",K36&gt;=30,"Avg Sale",K36&lt;=10000,"Poor Sale")</f>
        <v>Avg Sale</v>
      </c>
      <c r="N36" s="50" t="s">
        <v>69</v>
      </c>
      <c r="O36" s="55">
        <f t="shared" si="1"/>
        <v>12000</v>
      </c>
      <c r="P36" s="45">
        <f t="shared" si="2"/>
        <v>12000</v>
      </c>
    </row>
    <row r="37" spans="1:16" x14ac:dyDescent="0.3">
      <c r="A37" s="50">
        <v>1035</v>
      </c>
      <c r="B37" s="42">
        <v>46252</v>
      </c>
      <c r="C37" s="41" t="s">
        <v>63</v>
      </c>
      <c r="D37" s="41" t="s">
        <v>30</v>
      </c>
      <c r="E37" s="41" t="s">
        <v>36</v>
      </c>
      <c r="F37" s="41" t="s">
        <v>13</v>
      </c>
      <c r="G37" s="41">
        <v>2</v>
      </c>
      <c r="H37" s="43">
        <v>10000</v>
      </c>
      <c r="I37" s="41" t="s">
        <v>14</v>
      </c>
      <c r="J37" s="41" t="s">
        <v>26</v>
      </c>
      <c r="K37" s="44">
        <f t="shared" si="0"/>
        <v>20000</v>
      </c>
      <c r="L37" s="51" t="str" cm="1">
        <f t="array" ref="L37">_xlfn.IFS(K37&gt;=100000,"Great Sale",K37&gt;=50000,"Good Sale",K37&gt;=30,"Avg Sale",K37&lt;=10000,"Poor Sale")</f>
        <v>Avg Sale</v>
      </c>
      <c r="N37" s="50" t="s">
        <v>70</v>
      </c>
      <c r="O37" s="55">
        <f t="shared" si="1"/>
        <v>52000</v>
      </c>
      <c r="P37" s="45">
        <f t="shared" si="2"/>
        <v>52000</v>
      </c>
    </row>
    <row r="38" spans="1:16" x14ac:dyDescent="0.3">
      <c r="A38" s="50">
        <v>1036</v>
      </c>
      <c r="B38" s="42">
        <v>46252</v>
      </c>
      <c r="C38" s="41" t="s">
        <v>10</v>
      </c>
      <c r="D38" s="41" t="s">
        <v>11</v>
      </c>
      <c r="E38" s="41" t="s">
        <v>18</v>
      </c>
      <c r="F38" s="41" t="s">
        <v>13</v>
      </c>
      <c r="G38" s="41">
        <v>4</v>
      </c>
      <c r="H38" s="43">
        <v>19500</v>
      </c>
      <c r="I38" s="41" t="s">
        <v>19</v>
      </c>
      <c r="J38" s="41" t="s">
        <v>15</v>
      </c>
      <c r="K38" s="44">
        <f t="shared" si="0"/>
        <v>78000</v>
      </c>
      <c r="L38" s="51" t="str" cm="1">
        <f t="array" ref="L38">_xlfn.IFS(K38&gt;=100000,"Great Sale",K38&gt;=50000,"Good Sale",K38&gt;=30,"Avg Sale",K38&lt;=10000,"Poor Sale")</f>
        <v>Good Sale</v>
      </c>
      <c r="N38" s="50" t="s">
        <v>71</v>
      </c>
      <c r="O38" s="55">
        <f t="shared" si="1"/>
        <v>5000</v>
      </c>
      <c r="P38" s="45">
        <f t="shared" si="2"/>
        <v>5000</v>
      </c>
    </row>
    <row r="39" spans="1:16" x14ac:dyDescent="0.3">
      <c r="A39" s="50">
        <v>1037</v>
      </c>
      <c r="B39" s="42">
        <v>46253</v>
      </c>
      <c r="C39" s="41" t="s">
        <v>65</v>
      </c>
      <c r="D39" s="41" t="s">
        <v>22</v>
      </c>
      <c r="E39" s="41" t="s">
        <v>23</v>
      </c>
      <c r="F39" s="41" t="s">
        <v>24</v>
      </c>
      <c r="G39" s="41">
        <v>3</v>
      </c>
      <c r="H39" s="43">
        <v>1600</v>
      </c>
      <c r="I39" s="41" t="s">
        <v>14</v>
      </c>
      <c r="J39" s="41" t="s">
        <v>16</v>
      </c>
      <c r="K39" s="44">
        <f t="shared" si="0"/>
        <v>4800</v>
      </c>
      <c r="L39" s="51" t="str" cm="1">
        <f t="array" ref="L39">_xlfn.IFS(K39&gt;=100000,"Great Sale",K39&gt;=50000,"Good Sale",K39&gt;=30,"Avg Sale",K39&lt;=10000,"Poor Sale")</f>
        <v>Avg Sale</v>
      </c>
      <c r="N39" s="50" t="s">
        <v>72</v>
      </c>
      <c r="O39" s="55">
        <f t="shared" si="1"/>
        <v>2850</v>
      </c>
      <c r="P39" s="45">
        <f t="shared" si="2"/>
        <v>2850</v>
      </c>
    </row>
    <row r="40" spans="1:16" x14ac:dyDescent="0.3">
      <c r="A40" s="50">
        <v>1038</v>
      </c>
      <c r="B40" s="42">
        <v>46253</v>
      </c>
      <c r="C40" s="41" t="s">
        <v>66</v>
      </c>
      <c r="D40" s="41" t="s">
        <v>17</v>
      </c>
      <c r="E40" s="41" t="s">
        <v>28</v>
      </c>
      <c r="F40" s="41" t="s">
        <v>24</v>
      </c>
      <c r="G40" s="41">
        <v>6</v>
      </c>
      <c r="H40" s="43">
        <v>850</v>
      </c>
      <c r="I40" s="41" t="s">
        <v>25</v>
      </c>
      <c r="J40" s="41" t="s">
        <v>20</v>
      </c>
      <c r="K40" s="44">
        <f t="shared" si="0"/>
        <v>5100</v>
      </c>
      <c r="L40" s="51" t="str" cm="1">
        <f t="array" ref="L40">_xlfn.IFS(K40&gt;=100000,"Great Sale",K40&gt;=50000,"Good Sale",K40&gt;=30,"Avg Sale",K40&lt;=10000,"Poor Sale")</f>
        <v>Avg Sale</v>
      </c>
      <c r="N40" s="50" t="s">
        <v>74</v>
      </c>
      <c r="O40" s="55">
        <f t="shared" si="1"/>
        <v>42000</v>
      </c>
      <c r="P40" s="45">
        <f t="shared" si="2"/>
        <v>42000</v>
      </c>
    </row>
    <row r="41" spans="1:16" x14ac:dyDescent="0.3">
      <c r="A41" s="50">
        <v>1039</v>
      </c>
      <c r="B41" s="42">
        <v>46254</v>
      </c>
      <c r="C41" s="41" t="s">
        <v>67</v>
      </c>
      <c r="D41" s="41" t="s">
        <v>38</v>
      </c>
      <c r="E41" s="41" t="s">
        <v>12</v>
      </c>
      <c r="F41" s="41" t="s">
        <v>13</v>
      </c>
      <c r="G41" s="41">
        <v>1</v>
      </c>
      <c r="H41" s="43">
        <v>61000</v>
      </c>
      <c r="I41" s="41" t="s">
        <v>19</v>
      </c>
      <c r="J41" s="41" t="s">
        <v>26</v>
      </c>
      <c r="K41" s="44">
        <f t="shared" si="0"/>
        <v>61000</v>
      </c>
      <c r="L41" s="51" t="str" cm="1">
        <f t="array" ref="L41">_xlfn.IFS(K41&gt;=100000,"Great Sale",K41&gt;=50000,"Good Sale",K41&gt;=30,"Avg Sale",K41&lt;=10000,"Poor Sale")</f>
        <v>Good Sale</v>
      </c>
      <c r="N41" s="50" t="s">
        <v>75</v>
      </c>
      <c r="O41" s="55">
        <f t="shared" si="1"/>
        <v>18400</v>
      </c>
      <c r="P41" s="45">
        <f t="shared" si="2"/>
        <v>18400</v>
      </c>
    </row>
    <row r="42" spans="1:16" x14ac:dyDescent="0.3">
      <c r="A42" s="50">
        <v>1040</v>
      </c>
      <c r="B42" s="42">
        <v>46254</v>
      </c>
      <c r="C42" s="41" t="s">
        <v>45</v>
      </c>
      <c r="D42" s="41" t="s">
        <v>30</v>
      </c>
      <c r="E42" s="41" t="s">
        <v>33</v>
      </c>
      <c r="F42" s="41" t="s">
        <v>13</v>
      </c>
      <c r="G42" s="41">
        <v>2</v>
      </c>
      <c r="H42" s="43">
        <v>12500</v>
      </c>
      <c r="I42" s="41" t="s">
        <v>14</v>
      </c>
      <c r="J42" s="41" t="s">
        <v>15</v>
      </c>
      <c r="K42" s="44">
        <f t="shared" si="0"/>
        <v>25000</v>
      </c>
      <c r="L42" s="51" t="str" cm="1">
        <f t="array" ref="L42">_xlfn.IFS(K42&gt;=100000,"Great Sale",K42&gt;=50000,"Good Sale",K42&gt;=30,"Avg Sale",K42&lt;=10000,"Poor Sale")</f>
        <v>Avg Sale</v>
      </c>
      <c r="N42" s="50" t="s">
        <v>76</v>
      </c>
      <c r="O42" s="55">
        <f t="shared" si="1"/>
        <v>60000</v>
      </c>
      <c r="P42" s="45">
        <f t="shared" si="2"/>
        <v>60000</v>
      </c>
    </row>
    <row r="43" spans="1:16" x14ac:dyDescent="0.3">
      <c r="A43" s="50">
        <v>1041</v>
      </c>
      <c r="B43" s="42">
        <v>46255</v>
      </c>
      <c r="C43" s="41" t="s">
        <v>29</v>
      </c>
      <c r="D43" s="41" t="s">
        <v>11</v>
      </c>
      <c r="E43" s="41" t="s">
        <v>36</v>
      </c>
      <c r="F43" s="41" t="s">
        <v>13</v>
      </c>
      <c r="G43" s="41">
        <v>1</v>
      </c>
      <c r="H43" s="43">
        <v>9500</v>
      </c>
      <c r="I43" s="41" t="s">
        <v>19</v>
      </c>
      <c r="J43" s="41" t="s">
        <v>16</v>
      </c>
      <c r="K43" s="44">
        <f t="shared" si="0"/>
        <v>9500</v>
      </c>
      <c r="L43" s="51" t="str" cm="1">
        <f t="array" ref="L43">_xlfn.IFS(K43&gt;=100000,"Great Sale",K43&gt;=50000,"Good Sale",K43&gt;=30,"Avg Sale",K43&lt;=10000,"Poor Sale")</f>
        <v>Avg Sale</v>
      </c>
      <c r="N43" s="50" t="s">
        <v>77</v>
      </c>
      <c r="O43" s="55">
        <f t="shared" si="1"/>
        <v>10800</v>
      </c>
      <c r="P43" s="45">
        <f t="shared" si="2"/>
        <v>10800</v>
      </c>
    </row>
    <row r="44" spans="1:16" ht="15" thickBot="1" x14ac:dyDescent="0.35">
      <c r="A44" s="50">
        <v>1042</v>
      </c>
      <c r="B44" s="42">
        <v>46255</v>
      </c>
      <c r="C44" s="41" t="s">
        <v>69</v>
      </c>
      <c r="D44" s="41" t="s">
        <v>22</v>
      </c>
      <c r="E44" s="41" t="s">
        <v>31</v>
      </c>
      <c r="F44" s="41" t="s">
        <v>24</v>
      </c>
      <c r="G44" s="41">
        <v>5</v>
      </c>
      <c r="H44" s="43">
        <v>2400</v>
      </c>
      <c r="I44" s="41" t="s">
        <v>25</v>
      </c>
      <c r="J44" s="41" t="s">
        <v>20</v>
      </c>
      <c r="K44" s="44">
        <f t="shared" si="0"/>
        <v>12000</v>
      </c>
      <c r="L44" s="51" t="str" cm="1">
        <f t="array" ref="L44">_xlfn.IFS(K44&gt;=100000,"Great Sale",K44&gt;=50000,"Good Sale",K44&gt;=30,"Avg Sale",K44&lt;=10000,"Poor Sale")</f>
        <v>Avg Sale</v>
      </c>
      <c r="N44" s="52"/>
      <c r="O44" s="56">
        <f>SUM(O5:O43)</f>
        <v>1578400</v>
      </c>
      <c r="P44" s="53"/>
    </row>
    <row r="45" spans="1:16" x14ac:dyDescent="0.3">
      <c r="A45" s="50">
        <v>1043</v>
      </c>
      <c r="B45" s="42">
        <v>46256</v>
      </c>
      <c r="C45" s="41" t="s">
        <v>70</v>
      </c>
      <c r="D45" s="41" t="s">
        <v>17</v>
      </c>
      <c r="E45" s="41" t="s">
        <v>18</v>
      </c>
      <c r="F45" s="41" t="s">
        <v>13</v>
      </c>
      <c r="G45" s="41">
        <v>2</v>
      </c>
      <c r="H45" s="43">
        <v>26000</v>
      </c>
      <c r="I45" s="41" t="s">
        <v>14</v>
      </c>
      <c r="J45" s="41" t="s">
        <v>26</v>
      </c>
      <c r="K45" s="44">
        <f t="shared" si="0"/>
        <v>52000</v>
      </c>
      <c r="L45" s="51" t="str" cm="1">
        <f t="array" ref="L45">_xlfn.IFS(K45&gt;=100000,"Great Sale",K45&gt;=50000,"Good Sale",K45&gt;=30,"Avg Sale",K45&lt;=10000,"Poor Sale")</f>
        <v>Good Sale</v>
      </c>
    </row>
    <row r="46" spans="1:16" x14ac:dyDescent="0.3">
      <c r="A46" s="50">
        <v>1044</v>
      </c>
      <c r="B46" s="42">
        <v>46256</v>
      </c>
      <c r="C46" s="41" t="s">
        <v>71</v>
      </c>
      <c r="D46" s="41" t="s">
        <v>38</v>
      </c>
      <c r="E46" s="41" t="s">
        <v>23</v>
      </c>
      <c r="F46" s="41" t="s">
        <v>24</v>
      </c>
      <c r="G46" s="41">
        <v>4</v>
      </c>
      <c r="H46" s="43">
        <v>1250</v>
      </c>
      <c r="I46" s="41" t="s">
        <v>19</v>
      </c>
      <c r="J46" s="41" t="s">
        <v>15</v>
      </c>
      <c r="K46" s="44">
        <f t="shared" si="0"/>
        <v>5000</v>
      </c>
      <c r="L46" s="51" t="str" cm="1">
        <f t="array" ref="L46">_xlfn.IFS(K46&gt;=100000,"Great Sale",K46&gt;=50000,"Good Sale",K46&gt;=30,"Avg Sale",K46&lt;=10000,"Poor Sale")</f>
        <v>Avg Sale</v>
      </c>
    </row>
    <row r="47" spans="1:16" x14ac:dyDescent="0.3">
      <c r="A47" s="50">
        <v>1045</v>
      </c>
      <c r="B47" s="42">
        <v>46257</v>
      </c>
      <c r="C47" s="41" t="s">
        <v>72</v>
      </c>
      <c r="D47" s="41" t="s">
        <v>30</v>
      </c>
      <c r="E47" s="41" t="s">
        <v>28</v>
      </c>
      <c r="F47" s="41" t="s">
        <v>24</v>
      </c>
      <c r="G47" s="41">
        <v>3</v>
      </c>
      <c r="H47" s="43">
        <v>950</v>
      </c>
      <c r="I47" s="41" t="s">
        <v>14</v>
      </c>
      <c r="J47" s="41" t="s">
        <v>16</v>
      </c>
      <c r="K47" s="44">
        <f t="shared" si="0"/>
        <v>2850</v>
      </c>
      <c r="L47" s="51" t="str" cm="1">
        <f t="array" ref="L47">_xlfn.IFS(K47&gt;=100000,"Great Sale",K47&gt;=50000,"Good Sale",K47&gt;=30,"Avg Sale",K47&lt;=10000,"Poor Sale")</f>
        <v>Avg Sale</v>
      </c>
    </row>
    <row r="48" spans="1:16" x14ac:dyDescent="0.3">
      <c r="A48" s="50">
        <v>1046</v>
      </c>
      <c r="B48" s="42">
        <v>46257</v>
      </c>
      <c r="C48" s="41" t="s">
        <v>35</v>
      </c>
      <c r="D48" s="41" t="s">
        <v>11</v>
      </c>
      <c r="E48" s="41" t="s">
        <v>12</v>
      </c>
      <c r="F48" s="41" t="s">
        <v>13</v>
      </c>
      <c r="G48" s="41">
        <v>2</v>
      </c>
      <c r="H48" s="43">
        <v>59000</v>
      </c>
      <c r="I48" s="41" t="s">
        <v>25</v>
      </c>
      <c r="J48" s="41" t="s">
        <v>20</v>
      </c>
      <c r="K48" s="44">
        <f t="shared" si="0"/>
        <v>118000</v>
      </c>
      <c r="L48" s="51" t="str" cm="1">
        <f t="array" ref="L48">_xlfn.IFS(K48&gt;=100000,"Great Sale",K48&gt;=50000,"Good Sale",K48&gt;=30,"Avg Sale",K48&lt;=10000,"Poor Sale")</f>
        <v>Great Sale</v>
      </c>
    </row>
    <row r="49" spans="1:12" x14ac:dyDescent="0.3">
      <c r="A49" s="50">
        <v>1047</v>
      </c>
      <c r="B49" s="42">
        <v>46258</v>
      </c>
      <c r="C49" s="41" t="s">
        <v>74</v>
      </c>
      <c r="D49" s="41" t="s">
        <v>22</v>
      </c>
      <c r="E49" s="41" t="s">
        <v>33</v>
      </c>
      <c r="F49" s="41" t="s">
        <v>13</v>
      </c>
      <c r="G49" s="41">
        <v>3</v>
      </c>
      <c r="H49" s="43">
        <v>14000</v>
      </c>
      <c r="I49" s="41" t="s">
        <v>19</v>
      </c>
      <c r="J49" s="41" t="s">
        <v>26</v>
      </c>
      <c r="K49" s="44">
        <f t="shared" si="0"/>
        <v>42000</v>
      </c>
      <c r="L49" s="51" t="str" cm="1">
        <f t="array" ref="L49">_xlfn.IFS(K49&gt;=100000,"Great Sale",K49&gt;=50000,"Good Sale",K49&gt;=30,"Avg Sale",K49&lt;=10000,"Poor Sale")</f>
        <v>Avg Sale</v>
      </c>
    </row>
    <row r="50" spans="1:12" x14ac:dyDescent="0.3">
      <c r="A50" s="50">
        <v>1048</v>
      </c>
      <c r="B50" s="42">
        <v>46258</v>
      </c>
      <c r="C50" s="41" t="s">
        <v>75</v>
      </c>
      <c r="D50" s="41" t="s">
        <v>17</v>
      </c>
      <c r="E50" s="41" t="s">
        <v>36</v>
      </c>
      <c r="F50" s="41" t="s">
        <v>13</v>
      </c>
      <c r="G50" s="41">
        <v>2</v>
      </c>
      <c r="H50" s="43">
        <v>9200</v>
      </c>
      <c r="I50" s="41" t="s">
        <v>14</v>
      </c>
      <c r="J50" s="41" t="s">
        <v>15</v>
      </c>
      <c r="K50" s="44">
        <f t="shared" si="0"/>
        <v>18400</v>
      </c>
      <c r="L50" s="51" t="str" cm="1">
        <f t="array" ref="L50">_xlfn.IFS(K50&gt;=100000,"Great Sale",K50&gt;=50000,"Good Sale",K50&gt;=30,"Avg Sale",K50&lt;=10000,"Poor Sale")</f>
        <v>Avg Sale</v>
      </c>
    </row>
    <row r="51" spans="1:12" x14ac:dyDescent="0.3">
      <c r="A51" s="50">
        <v>1049</v>
      </c>
      <c r="B51" s="42">
        <v>46259</v>
      </c>
      <c r="C51" s="41" t="s">
        <v>76</v>
      </c>
      <c r="D51" s="41" t="s">
        <v>38</v>
      </c>
      <c r="E51" s="41" t="s">
        <v>18</v>
      </c>
      <c r="F51" s="41" t="s">
        <v>13</v>
      </c>
      <c r="G51" s="41">
        <v>3</v>
      </c>
      <c r="H51" s="43">
        <v>20000</v>
      </c>
      <c r="I51" s="41" t="s">
        <v>19</v>
      </c>
      <c r="J51" s="41" t="s">
        <v>16</v>
      </c>
      <c r="K51" s="44">
        <f t="shared" si="0"/>
        <v>60000</v>
      </c>
      <c r="L51" s="51" t="str" cm="1">
        <f t="array" ref="L51">_xlfn.IFS(K51&gt;=100000,"Great Sale",K51&gt;=50000,"Good Sale",K51&gt;=30,"Avg Sale",K51&lt;=10000,"Poor Sale")</f>
        <v>Good Sale</v>
      </c>
    </row>
    <row r="52" spans="1:12" x14ac:dyDescent="0.3">
      <c r="A52" s="50">
        <v>1050</v>
      </c>
      <c r="B52" s="42">
        <v>46259</v>
      </c>
      <c r="C52" s="41" t="s">
        <v>77</v>
      </c>
      <c r="D52" s="41" t="s">
        <v>30</v>
      </c>
      <c r="E52" s="41" t="s">
        <v>31</v>
      </c>
      <c r="F52" s="41" t="s">
        <v>24</v>
      </c>
      <c r="G52" s="41">
        <v>4</v>
      </c>
      <c r="H52" s="43">
        <v>2700</v>
      </c>
      <c r="I52" s="41" t="s">
        <v>25</v>
      </c>
      <c r="J52" s="41" t="s">
        <v>20</v>
      </c>
      <c r="K52" s="44">
        <f t="shared" si="0"/>
        <v>10800</v>
      </c>
      <c r="L52" s="51" t="str" cm="1">
        <f t="array" ref="L52">_xlfn.IFS(K52&gt;=100000,"Great Sale",K52&gt;=50000,"Good Sale",K52&gt;=30,"Avg Sale",K52&lt;=10000,"Poor Sale")</f>
        <v>Avg Sale</v>
      </c>
    </row>
    <row r="53" spans="1:12" x14ac:dyDescent="0.3">
      <c r="A53" s="68"/>
      <c r="B53" s="69"/>
      <c r="C53" s="69"/>
      <c r="D53" s="69"/>
      <c r="E53" s="69"/>
      <c r="F53" s="69"/>
      <c r="G53" s="69"/>
      <c r="H53" s="69"/>
      <c r="I53" s="69"/>
      <c r="J53" s="69"/>
      <c r="K53" s="70">
        <f>SUBTOTAL(9,K2:K52)</f>
        <v>1578400</v>
      </c>
      <c r="L53" s="71" t="str" cm="1">
        <f t="array" ref="L53">_xlfn.IFS(K53&gt;=100000,"Great Sale",K53&gt;=50000,"Good Sale",K53&gt;=30,"Avg Sale",K53&lt;=10000,"Poor Sale")</f>
        <v>Great Sale</v>
      </c>
    </row>
  </sheetData>
  <mergeCells count="1">
    <mergeCell ref="N3:P3"/>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8228B-6F59-42E2-8B9F-A6E0BC93BE29}">
  <dimension ref="A1:I27"/>
  <sheetViews>
    <sheetView workbookViewId="0">
      <selection sqref="A1:E14"/>
    </sheetView>
  </sheetViews>
  <sheetFormatPr defaultRowHeight="14.4" x14ac:dyDescent="0.3"/>
  <cols>
    <col min="1" max="1" width="11.21875" customWidth="1"/>
    <col min="2" max="5" width="10.44140625" customWidth="1"/>
    <col min="9" max="9" width="17.44140625" customWidth="1"/>
    <col min="10" max="10" width="10.33203125" bestFit="1" customWidth="1"/>
    <col min="11" max="11" width="9.109375" bestFit="1" customWidth="1"/>
    <col min="12" max="12" width="8.21875" bestFit="1" customWidth="1"/>
    <col min="13" max="13" width="11.109375" bestFit="1" customWidth="1"/>
  </cols>
  <sheetData>
    <row r="1" spans="1:9" x14ac:dyDescent="0.3">
      <c r="A1" s="76" t="s">
        <v>97</v>
      </c>
      <c r="B1" s="77" t="s">
        <v>123</v>
      </c>
      <c r="C1" s="77" t="s">
        <v>124</v>
      </c>
      <c r="D1" s="77" t="s">
        <v>125</v>
      </c>
      <c r="E1" s="78" t="s">
        <v>126</v>
      </c>
    </row>
    <row r="2" spans="1:9" x14ac:dyDescent="0.3">
      <c r="A2" s="72" t="s">
        <v>0</v>
      </c>
      <c r="B2" s="40" t="s">
        <v>1</v>
      </c>
      <c r="C2" s="40" t="s">
        <v>2</v>
      </c>
      <c r="D2" s="40" t="s">
        <v>3</v>
      </c>
      <c r="E2" s="74" t="s">
        <v>6</v>
      </c>
    </row>
    <row r="3" spans="1:9" x14ac:dyDescent="0.3">
      <c r="A3" s="73">
        <v>1001</v>
      </c>
      <c r="B3" s="42">
        <v>46235</v>
      </c>
      <c r="C3" s="41" t="s">
        <v>10</v>
      </c>
      <c r="D3" s="60" t="str">
        <f>VLOOKUP(A3,'Logical formula'!A3:D14,4,FALSE)</f>
        <v>Lucknow</v>
      </c>
      <c r="E3" s="75">
        <f>VLOOKUP(A3,'Logical formula'!A3:$L$14,MATCH('Lookup , VLookup , Index'!$E$2,'Logical formula'!$A$2:$L$2,0))</f>
        <v>2</v>
      </c>
    </row>
    <row r="4" spans="1:9" ht="15" thickBot="1" x14ac:dyDescent="0.35">
      <c r="A4" s="73">
        <v>1002</v>
      </c>
      <c r="B4" s="42">
        <v>46235</v>
      </c>
      <c r="C4" s="41" t="s">
        <v>16</v>
      </c>
      <c r="D4" s="60" t="str">
        <f>VLOOKUP(A4,'Logical formula'!A4:D15,4,FALSE)</f>
        <v>Kanpur</v>
      </c>
      <c r="E4" s="75">
        <f>VLOOKUP(A4,'Logical formula'!A4:$L$14,MATCH('Lookup , VLookup , Index'!$E$2,'Logical formula'!$A$2:$L$2,0))</f>
        <v>3</v>
      </c>
    </row>
    <row r="5" spans="1:9" x14ac:dyDescent="0.3">
      <c r="A5" s="73">
        <v>1003</v>
      </c>
      <c r="B5" s="42">
        <v>46236</v>
      </c>
      <c r="C5" s="41" t="s">
        <v>21</v>
      </c>
      <c r="D5" s="60" t="str">
        <f>VLOOKUP(A5,'Logical formula'!A5:D16,4,FALSE)</f>
        <v>Delhi</v>
      </c>
      <c r="E5" s="75">
        <f>VLOOKUP(A5,'Logical formula'!A5:$L$14,MATCH('Lookup , VLookup , Index'!$E$2,'Logical formula'!$A$2:$L$2,0))</f>
        <v>5</v>
      </c>
      <c r="H5" s="116" t="s">
        <v>98</v>
      </c>
      <c r="I5" s="117"/>
    </row>
    <row r="6" spans="1:9" x14ac:dyDescent="0.3">
      <c r="A6" s="73">
        <v>1004</v>
      </c>
      <c r="B6" s="42">
        <v>46236</v>
      </c>
      <c r="C6" s="41" t="s">
        <v>27</v>
      </c>
      <c r="D6" s="60" t="str">
        <f>VLOOKUP(A6,'Logical formula'!A6:D17,4,FALSE)</f>
        <v>Lucknow</v>
      </c>
      <c r="E6" s="75">
        <f>VLOOKUP(A6,'Logical formula'!A6:$L$14,MATCH('Lookup , VLookup , Index'!$E$2,'Logical formula'!$A$2:$L$2,0))</f>
        <v>4</v>
      </c>
      <c r="H6" s="61" t="s">
        <v>0</v>
      </c>
      <c r="I6" s="62" t="s">
        <v>2</v>
      </c>
    </row>
    <row r="7" spans="1:9" x14ac:dyDescent="0.3">
      <c r="A7" s="73">
        <v>1005</v>
      </c>
      <c r="B7" s="42">
        <v>46237</v>
      </c>
      <c r="C7" s="41" t="s">
        <v>29</v>
      </c>
      <c r="D7" s="60" t="str">
        <f>VLOOKUP(A7,'Logical formula'!A7:D18,4,FALSE)</f>
        <v>Jaipur</v>
      </c>
      <c r="E7" s="75">
        <f>VLOOKUP(A7,'Logical formula'!A7:$L$14,MATCH('Lookup , VLookup , Index'!$E$2,'Logical formula'!$A$2:$L$2,0))</f>
        <v>2</v>
      </c>
      <c r="H7" s="50">
        <v>1001</v>
      </c>
      <c r="I7" s="51" t="str">
        <f>INDEX($A$3:$E$14,MATCH(H7,$A$3:$A$14,0),MATCH($I$6,$A$2:$E$2,0))</f>
        <v>Rahul</v>
      </c>
    </row>
    <row r="8" spans="1:9" x14ac:dyDescent="0.3">
      <c r="A8" s="73">
        <v>1006</v>
      </c>
      <c r="B8" s="42">
        <v>46237</v>
      </c>
      <c r="C8" s="41" t="s">
        <v>32</v>
      </c>
      <c r="D8" s="60" t="str">
        <f>VLOOKUP(A8,'Logical formula'!A8:D19,4,FALSE)</f>
        <v>Delhi</v>
      </c>
      <c r="E8" s="75">
        <f>VLOOKUP(A8,'Logical formula'!A8:$L$14,MATCH('Lookup , VLookup , Index'!$E$2,'Logical formula'!$A$2:$L$2,0))</f>
        <v>2</v>
      </c>
      <c r="H8" s="50">
        <v>1002</v>
      </c>
      <c r="I8" s="51" t="str">
        <f>INDEX($A$3:$E$14,MATCH(H8,$A$3:$A$14,0),MATCH($I$6,$A$2:$E$2,0))</f>
        <v>Priya</v>
      </c>
    </row>
    <row r="9" spans="1:9" x14ac:dyDescent="0.3">
      <c r="A9" s="73">
        <v>1007</v>
      </c>
      <c r="B9" s="42">
        <v>46238</v>
      </c>
      <c r="C9" s="41" t="s">
        <v>35</v>
      </c>
      <c r="D9" s="60" t="str">
        <f>VLOOKUP(A9,'Logical formula'!A9:D20,4,FALSE)</f>
        <v>Kanpur</v>
      </c>
      <c r="E9" s="75">
        <f>VLOOKUP(A9,'Logical formula'!A9:$L$14,MATCH('Lookup , VLookup , Index'!$E$2,'Logical formula'!$A$2:$L$2,0))</f>
        <v>1</v>
      </c>
      <c r="H9" s="50">
        <v>1003</v>
      </c>
      <c r="I9" s="51" t="str">
        <f>INDEX($A$3:$E$14,MATCH(H9,$A$3:$A$14,0),MATCH($I$6,$A$2:$E$2,0))</f>
        <v>Ankit</v>
      </c>
    </row>
    <row r="10" spans="1:9" x14ac:dyDescent="0.3">
      <c r="A10" s="73">
        <v>1008</v>
      </c>
      <c r="B10" s="42">
        <v>46238</v>
      </c>
      <c r="C10" s="41" t="s">
        <v>35</v>
      </c>
      <c r="D10" s="60" t="str">
        <f>VLOOKUP(A10,'Logical formula'!A10:D21,4,FALSE)</f>
        <v>Lucknow</v>
      </c>
      <c r="E10" s="75">
        <f>VLOOKUP(A10,'Logical formula'!A10:$L$14,MATCH('Lookup , VLookup , Index'!$E$2,'Logical formula'!$A$2:$L$2,0))</f>
        <v>2</v>
      </c>
      <c r="H10" s="50">
        <v>1006</v>
      </c>
      <c r="I10" s="51" t="str">
        <f>INDEX($A$3:$E$14,MATCH(H10,$A$3:$A$14,0),MATCH($I$6,$A$2:$E$2,0))</f>
        <v>Pooja</v>
      </c>
    </row>
    <row r="11" spans="1:9" ht="15" thickBot="1" x14ac:dyDescent="0.35">
      <c r="A11" s="73">
        <v>1009</v>
      </c>
      <c r="B11" s="42">
        <v>46239</v>
      </c>
      <c r="C11" s="41" t="s">
        <v>37</v>
      </c>
      <c r="D11" s="60" t="str">
        <f>VLOOKUP(A11,'Logical formula'!A11:D22,4,FALSE)</f>
        <v>Agra</v>
      </c>
      <c r="E11" s="75">
        <f>VLOOKUP(A11,'Logical formula'!A11:$L$14,MATCH('Lookup , VLookup , Index'!$E$2,'Logical formula'!$A$2:$L$2,0))</f>
        <v>2</v>
      </c>
      <c r="H11" s="63">
        <v>1005</v>
      </c>
      <c r="I11" s="54" t="str">
        <f>INDEX($A$3:$E$14,MATCH(H11,$A$3:$A$14,0),MATCH($I$6,$A$2:$E$2,0))</f>
        <v>Vivek</v>
      </c>
    </row>
    <row r="12" spans="1:9" x14ac:dyDescent="0.3">
      <c r="A12" s="73">
        <v>1010</v>
      </c>
      <c r="B12" s="42">
        <v>46239</v>
      </c>
      <c r="C12" s="41" t="s">
        <v>21</v>
      </c>
      <c r="D12" s="60" t="str">
        <f>VLOOKUP(A12,'Logical formula'!A12:D23,4,FALSE)</f>
        <v>Jaipur</v>
      </c>
      <c r="E12" s="75">
        <f>VLOOKUP(A12,'Logical formula'!A12:$L$14,MATCH('Lookup , VLookup , Index'!$E$2,'Logical formula'!$A$2:$L$2,0))</f>
        <v>3</v>
      </c>
    </row>
    <row r="13" spans="1:9" x14ac:dyDescent="0.3">
      <c r="A13" s="73">
        <v>1011</v>
      </c>
      <c r="B13" s="42">
        <v>46240</v>
      </c>
      <c r="C13" s="41" t="s">
        <v>40</v>
      </c>
      <c r="D13" s="60" t="str">
        <f>VLOOKUP(A13,'Logical formula'!A13:D24,4,FALSE)</f>
        <v>Lucknow</v>
      </c>
      <c r="E13" s="75">
        <f>VLOOKUP(A13,'Logical formula'!A13:$L$14,MATCH('Lookup , VLookup , Index'!$E$2,'Logical formula'!$A$2:$L$2,0))</f>
        <v>6</v>
      </c>
    </row>
    <row r="14" spans="1:9" x14ac:dyDescent="0.3">
      <c r="A14" s="79">
        <v>1012</v>
      </c>
      <c r="B14" s="80">
        <v>46240</v>
      </c>
      <c r="C14" s="81" t="s">
        <v>41</v>
      </c>
      <c r="D14" s="82" t="str">
        <f>VLOOKUP(A14,'Logical formula'!A14:D25,4,FALSE)</f>
        <v>Delhi</v>
      </c>
      <c r="E14" s="83">
        <f>VLOOKUP(A14,'Logical formula'!A14:$L$14,MATCH('Lookup , VLookup , Index'!$E$2,'Logical formula'!$A$2:$L$2,0))</f>
        <v>1</v>
      </c>
    </row>
    <row r="17" spans="1:3" x14ac:dyDescent="0.3">
      <c r="A17" s="38"/>
      <c r="B17" s="39"/>
      <c r="C17" s="38"/>
    </row>
    <row r="18" spans="1:3" x14ac:dyDescent="0.3">
      <c r="A18" s="38"/>
      <c r="B18" s="39"/>
      <c r="C18" s="38"/>
    </row>
    <row r="19" spans="1:3" x14ac:dyDescent="0.3">
      <c r="A19" s="38"/>
      <c r="B19" s="39"/>
      <c r="C19" s="38"/>
    </row>
    <row r="20" spans="1:3" x14ac:dyDescent="0.3">
      <c r="A20" s="38"/>
      <c r="B20" s="39"/>
      <c r="C20" s="38"/>
    </row>
    <row r="21" spans="1:3" x14ac:dyDescent="0.3">
      <c r="A21" s="38"/>
      <c r="B21" s="39"/>
      <c r="C21" s="38"/>
    </row>
    <row r="22" spans="1:3" x14ac:dyDescent="0.3">
      <c r="A22" s="38"/>
      <c r="B22" s="39"/>
      <c r="C22" s="38"/>
    </row>
    <row r="23" spans="1:3" x14ac:dyDescent="0.3">
      <c r="A23" s="38"/>
      <c r="B23" s="39"/>
      <c r="C23" s="38"/>
    </row>
    <row r="24" spans="1:3" x14ac:dyDescent="0.3">
      <c r="A24" s="38"/>
      <c r="B24" s="39"/>
      <c r="C24" s="38"/>
    </row>
    <row r="25" spans="1:3" x14ac:dyDescent="0.3">
      <c r="A25" s="38"/>
      <c r="B25" s="39"/>
      <c r="C25" s="38"/>
    </row>
    <row r="26" spans="1:3" x14ac:dyDescent="0.3">
      <c r="A26" s="38"/>
      <c r="B26" s="39"/>
      <c r="C26" s="38"/>
    </row>
    <row r="27" spans="1:3" x14ac:dyDescent="0.3">
      <c r="A27" s="38"/>
      <c r="B27" s="39"/>
      <c r="C27" s="38"/>
    </row>
  </sheetData>
  <mergeCells count="1">
    <mergeCell ref="H5:I5"/>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5947F-5709-4DAB-BFB5-6B84AA139443}">
  <dimension ref="A1:O52"/>
  <sheetViews>
    <sheetView workbookViewId="0">
      <selection activeCell="H6" sqref="A1:J51"/>
    </sheetView>
  </sheetViews>
  <sheetFormatPr defaultRowHeight="14.4" x14ac:dyDescent="0.3"/>
  <cols>
    <col min="1" max="1" width="9.44140625" customWidth="1"/>
    <col min="2" max="2" width="10.33203125" bestFit="1" customWidth="1"/>
    <col min="3" max="3" width="11" customWidth="1"/>
    <col min="4" max="4" width="8.21875" bestFit="1" customWidth="1"/>
    <col min="5" max="5" width="11.109375" bestFit="1" customWidth="1"/>
    <col min="6" max="6" width="10.44140625" bestFit="1" customWidth="1"/>
    <col min="7" max="7" width="10.21875" customWidth="1"/>
    <col min="8" max="8" width="10.5546875" customWidth="1"/>
    <col min="9" max="9" width="15.44140625" customWidth="1"/>
    <col min="10" max="10" width="12.88671875" customWidth="1"/>
  </cols>
  <sheetData>
    <row r="1" spans="1:15" ht="15.6" thickTop="1" thickBot="1" x14ac:dyDescent="0.35">
      <c r="A1" s="84" t="s">
        <v>0</v>
      </c>
      <c r="B1" s="85" t="s">
        <v>1</v>
      </c>
      <c r="C1" s="85" t="s">
        <v>2</v>
      </c>
      <c r="D1" s="85" t="s">
        <v>3</v>
      </c>
      <c r="E1" s="85" t="s">
        <v>4</v>
      </c>
      <c r="F1" s="85" t="s">
        <v>5</v>
      </c>
      <c r="G1" s="85" t="s">
        <v>6</v>
      </c>
      <c r="H1" s="86" t="s">
        <v>7</v>
      </c>
      <c r="I1" s="85" t="s">
        <v>8</v>
      </c>
      <c r="J1" s="87" t="s">
        <v>9</v>
      </c>
      <c r="L1" s="118" t="s">
        <v>101</v>
      </c>
      <c r="M1" s="118"/>
      <c r="N1" s="118"/>
      <c r="O1" s="118"/>
    </row>
    <row r="2" spans="1:15" ht="16.2" customHeight="1" thickBot="1" x14ac:dyDescent="0.35">
      <c r="A2" s="88">
        <v>1001</v>
      </c>
      <c r="B2" s="89">
        <v>46235</v>
      </c>
      <c r="C2" s="90" t="s">
        <v>10</v>
      </c>
      <c r="D2" s="90" t="s">
        <v>11</v>
      </c>
      <c r="E2" s="90" t="s">
        <v>12</v>
      </c>
      <c r="F2" s="90" t="s">
        <v>13</v>
      </c>
      <c r="G2" s="90">
        <v>2</v>
      </c>
      <c r="H2" s="91">
        <v>55000</v>
      </c>
      <c r="I2" s="92" t="s">
        <v>14</v>
      </c>
      <c r="J2" s="93" t="s">
        <v>15</v>
      </c>
      <c r="L2" s="40" t="s">
        <v>0</v>
      </c>
      <c r="M2" s="40" t="s">
        <v>2</v>
      </c>
      <c r="N2" s="40" t="s">
        <v>3</v>
      </c>
      <c r="O2" s="40" t="s">
        <v>100</v>
      </c>
    </row>
    <row r="3" spans="1:15" ht="15" thickBot="1" x14ac:dyDescent="0.35">
      <c r="A3" s="94">
        <v>1002</v>
      </c>
      <c r="B3" s="95">
        <v>46235</v>
      </c>
      <c r="C3" s="35" t="s">
        <v>16</v>
      </c>
      <c r="D3" s="35" t="s">
        <v>17</v>
      </c>
      <c r="E3" s="35" t="s">
        <v>18</v>
      </c>
      <c r="F3" s="35" t="s">
        <v>13</v>
      </c>
      <c r="G3" s="35">
        <v>3</v>
      </c>
      <c r="H3" s="96">
        <v>22000</v>
      </c>
      <c r="I3" s="35" t="s">
        <v>19</v>
      </c>
      <c r="J3" s="97" t="s">
        <v>20</v>
      </c>
      <c r="L3" s="41">
        <v>1001</v>
      </c>
      <c r="M3" s="41" t="s">
        <v>10</v>
      </c>
      <c r="N3" s="41" t="s">
        <v>11</v>
      </c>
      <c r="O3" s="45" t="str">
        <f>_xlfn.XLOOKUP(L3,$A$2:$A$15,$I$2:$I$15, "not found ")</f>
        <v>UPI</v>
      </c>
    </row>
    <row r="4" spans="1:15" ht="15" thickBot="1" x14ac:dyDescent="0.35">
      <c r="A4" s="88">
        <v>1003</v>
      </c>
      <c r="B4" s="89">
        <v>46236</v>
      </c>
      <c r="C4" s="90" t="s">
        <v>21</v>
      </c>
      <c r="D4" s="90" t="s">
        <v>22</v>
      </c>
      <c r="E4" s="90" t="s">
        <v>23</v>
      </c>
      <c r="F4" s="90" t="s">
        <v>24</v>
      </c>
      <c r="G4" s="90">
        <v>5</v>
      </c>
      <c r="H4" s="91">
        <v>1200</v>
      </c>
      <c r="I4" s="90" t="s">
        <v>25</v>
      </c>
      <c r="J4" s="93" t="s">
        <v>26</v>
      </c>
      <c r="L4" s="41">
        <v>1002</v>
      </c>
      <c r="M4" s="41" t="s">
        <v>16</v>
      </c>
      <c r="N4" s="41" t="s">
        <v>17</v>
      </c>
      <c r="O4" s="45" t="str">
        <f t="shared" ref="O4:O17" si="0">_xlfn.XLOOKUP(L4,$A$2:$A$15,$I$2:$I$15, "not found ")</f>
        <v>Card</v>
      </c>
    </row>
    <row r="5" spans="1:15" ht="15" thickBot="1" x14ac:dyDescent="0.35">
      <c r="A5" s="94">
        <v>1004</v>
      </c>
      <c r="B5" s="95">
        <v>46236</v>
      </c>
      <c r="C5" s="35" t="s">
        <v>27</v>
      </c>
      <c r="D5" s="35" t="s">
        <v>11</v>
      </c>
      <c r="E5" s="35" t="s">
        <v>28</v>
      </c>
      <c r="F5" s="35" t="s">
        <v>24</v>
      </c>
      <c r="G5" s="35">
        <v>4</v>
      </c>
      <c r="H5" s="96">
        <v>800</v>
      </c>
      <c r="I5" s="35" t="s">
        <v>14</v>
      </c>
      <c r="J5" s="97" t="s">
        <v>15</v>
      </c>
      <c r="L5" s="41">
        <v>1003</v>
      </c>
      <c r="M5" s="41" t="s">
        <v>21</v>
      </c>
      <c r="N5" s="41" t="s">
        <v>22</v>
      </c>
      <c r="O5" s="45" t="str">
        <f t="shared" si="0"/>
        <v>Cash</v>
      </c>
    </row>
    <row r="6" spans="1:15" ht="15" thickBot="1" x14ac:dyDescent="0.35">
      <c r="A6" s="88">
        <v>1005</v>
      </c>
      <c r="B6" s="89">
        <v>46237</v>
      </c>
      <c r="C6" s="90" t="s">
        <v>29</v>
      </c>
      <c r="D6" s="90" t="s">
        <v>30</v>
      </c>
      <c r="E6" s="90" t="s">
        <v>31</v>
      </c>
      <c r="F6" s="90" t="s">
        <v>24</v>
      </c>
      <c r="G6" s="90">
        <v>2</v>
      </c>
      <c r="H6" s="91">
        <v>2500</v>
      </c>
      <c r="I6" s="90" t="s">
        <v>19</v>
      </c>
      <c r="J6" s="93" t="s">
        <v>16</v>
      </c>
      <c r="L6" s="41">
        <v>1004</v>
      </c>
      <c r="M6" s="41" t="s">
        <v>27</v>
      </c>
      <c r="N6" s="41" t="s">
        <v>11</v>
      </c>
      <c r="O6" s="45" t="str">
        <f t="shared" si="0"/>
        <v>UPI</v>
      </c>
    </row>
    <row r="7" spans="1:15" ht="15" thickBot="1" x14ac:dyDescent="0.35">
      <c r="A7" s="94">
        <v>1006</v>
      </c>
      <c r="B7" s="95">
        <v>46237</v>
      </c>
      <c r="C7" s="35" t="s">
        <v>32</v>
      </c>
      <c r="D7" s="35" t="s">
        <v>22</v>
      </c>
      <c r="E7" s="35" t="s">
        <v>33</v>
      </c>
      <c r="F7" s="35" t="s">
        <v>13</v>
      </c>
      <c r="G7" s="35">
        <v>2</v>
      </c>
      <c r="H7" s="96">
        <v>15000</v>
      </c>
      <c r="I7" s="35" t="s">
        <v>14</v>
      </c>
      <c r="J7" s="97" t="s">
        <v>20</v>
      </c>
      <c r="L7" s="41">
        <v>1005</v>
      </c>
      <c r="M7" s="41" t="s">
        <v>29</v>
      </c>
      <c r="N7" s="41" t="s">
        <v>30</v>
      </c>
      <c r="O7" s="45" t="str">
        <f t="shared" si="0"/>
        <v>Card</v>
      </c>
    </row>
    <row r="8" spans="1:15" ht="15" thickBot="1" x14ac:dyDescent="0.35">
      <c r="A8" s="88">
        <v>1007</v>
      </c>
      <c r="B8" s="89">
        <v>46238</v>
      </c>
      <c r="C8" s="90" t="s">
        <v>34</v>
      </c>
      <c r="D8" s="90" t="s">
        <v>17</v>
      </c>
      <c r="E8" s="90" t="s">
        <v>12</v>
      </c>
      <c r="F8" s="90" t="s">
        <v>13</v>
      </c>
      <c r="G8" s="90">
        <v>1</v>
      </c>
      <c r="H8" s="91">
        <v>62000</v>
      </c>
      <c r="I8" s="90" t="s">
        <v>19</v>
      </c>
      <c r="J8" s="93" t="s">
        <v>26</v>
      </c>
      <c r="L8" s="41">
        <v>1006</v>
      </c>
      <c r="M8" s="41" t="s">
        <v>32</v>
      </c>
      <c r="N8" s="41" t="s">
        <v>22</v>
      </c>
      <c r="O8" s="45" t="str">
        <f t="shared" si="0"/>
        <v>UPI</v>
      </c>
    </row>
    <row r="9" spans="1:15" ht="15" thickBot="1" x14ac:dyDescent="0.35">
      <c r="A9" s="94">
        <v>1008</v>
      </c>
      <c r="B9" s="95">
        <v>46238</v>
      </c>
      <c r="C9" s="35" t="s">
        <v>35</v>
      </c>
      <c r="D9" s="35" t="s">
        <v>11</v>
      </c>
      <c r="E9" s="35" t="s">
        <v>36</v>
      </c>
      <c r="F9" s="35" t="s">
        <v>13</v>
      </c>
      <c r="G9" s="35">
        <v>2</v>
      </c>
      <c r="H9" s="96">
        <v>9500</v>
      </c>
      <c r="I9" s="35" t="s">
        <v>25</v>
      </c>
      <c r="J9" s="97" t="s">
        <v>15</v>
      </c>
      <c r="L9" s="41">
        <v>1007</v>
      </c>
      <c r="M9" s="41" t="s">
        <v>34</v>
      </c>
      <c r="N9" s="41" t="s">
        <v>17</v>
      </c>
      <c r="O9" s="45" t="str">
        <f t="shared" si="0"/>
        <v>Card</v>
      </c>
    </row>
    <row r="10" spans="1:15" ht="15" thickBot="1" x14ac:dyDescent="0.35">
      <c r="A10" s="88">
        <v>1009</v>
      </c>
      <c r="B10" s="89">
        <v>46239</v>
      </c>
      <c r="C10" s="90" t="s">
        <v>37</v>
      </c>
      <c r="D10" s="90" t="s">
        <v>38</v>
      </c>
      <c r="E10" s="90" t="s">
        <v>78</v>
      </c>
      <c r="F10" s="90" t="s">
        <v>13</v>
      </c>
      <c r="G10" s="90">
        <v>2</v>
      </c>
      <c r="H10" s="91">
        <v>18000</v>
      </c>
      <c r="I10" s="90" t="s">
        <v>14</v>
      </c>
      <c r="J10" s="93" t="s">
        <v>16</v>
      </c>
      <c r="L10" s="41">
        <v>1008</v>
      </c>
      <c r="M10" s="41" t="s">
        <v>35</v>
      </c>
      <c r="N10" s="41" t="s">
        <v>11</v>
      </c>
      <c r="O10" s="45" t="str">
        <f t="shared" si="0"/>
        <v>Cash</v>
      </c>
    </row>
    <row r="11" spans="1:15" ht="15" thickBot="1" x14ac:dyDescent="0.35">
      <c r="A11" s="94">
        <v>1010</v>
      </c>
      <c r="B11" s="95">
        <v>46239</v>
      </c>
      <c r="C11" s="35" t="s">
        <v>39</v>
      </c>
      <c r="D11" s="35" t="s">
        <v>30</v>
      </c>
      <c r="E11" s="35" t="s">
        <v>23</v>
      </c>
      <c r="F11" s="35" t="s">
        <v>24</v>
      </c>
      <c r="G11" s="35">
        <v>3</v>
      </c>
      <c r="H11" s="96">
        <v>1500</v>
      </c>
      <c r="I11" s="35" t="s">
        <v>19</v>
      </c>
      <c r="J11" s="97" t="s">
        <v>20</v>
      </c>
      <c r="L11" s="41">
        <v>1009</v>
      </c>
      <c r="M11" s="41" t="s">
        <v>37</v>
      </c>
      <c r="N11" s="41" t="s">
        <v>38</v>
      </c>
      <c r="O11" s="45" t="str">
        <f t="shared" si="0"/>
        <v>UPI</v>
      </c>
    </row>
    <row r="12" spans="1:15" ht="15" thickBot="1" x14ac:dyDescent="0.35">
      <c r="A12" s="88">
        <v>1011</v>
      </c>
      <c r="B12" s="89">
        <v>46240</v>
      </c>
      <c r="C12" s="90" t="s">
        <v>40</v>
      </c>
      <c r="D12" s="90" t="s">
        <v>11</v>
      </c>
      <c r="E12" s="90" t="s">
        <v>28</v>
      </c>
      <c r="F12" s="90" t="s">
        <v>24</v>
      </c>
      <c r="G12" s="90">
        <v>6</v>
      </c>
      <c r="H12" s="91">
        <v>700</v>
      </c>
      <c r="I12" s="90" t="s">
        <v>14</v>
      </c>
      <c r="J12" s="93" t="s">
        <v>26</v>
      </c>
      <c r="L12" s="41">
        <v>1010</v>
      </c>
      <c r="M12" s="41" t="s">
        <v>39</v>
      </c>
      <c r="N12" s="41" t="s">
        <v>30</v>
      </c>
      <c r="O12" s="45" t="str">
        <f t="shared" si="0"/>
        <v>Card</v>
      </c>
    </row>
    <row r="13" spans="1:15" ht="15" thickBot="1" x14ac:dyDescent="0.35">
      <c r="A13" s="94">
        <v>1012</v>
      </c>
      <c r="B13" s="95">
        <v>46240</v>
      </c>
      <c r="C13" s="35" t="s">
        <v>41</v>
      </c>
      <c r="D13" s="35" t="s">
        <v>22</v>
      </c>
      <c r="E13" s="35" t="s">
        <v>12</v>
      </c>
      <c r="F13" s="35" t="s">
        <v>13</v>
      </c>
      <c r="G13" s="35">
        <v>1</v>
      </c>
      <c r="H13" s="96">
        <v>58000</v>
      </c>
      <c r="I13" s="35" t="s">
        <v>19</v>
      </c>
      <c r="J13" s="97" t="s">
        <v>15</v>
      </c>
      <c r="L13" s="41">
        <v>1011</v>
      </c>
      <c r="M13" s="41" t="s">
        <v>40</v>
      </c>
      <c r="N13" s="41" t="s">
        <v>11</v>
      </c>
      <c r="O13" s="45" t="str">
        <f t="shared" si="0"/>
        <v>UPI</v>
      </c>
    </row>
    <row r="14" spans="1:15" ht="15" thickBot="1" x14ac:dyDescent="0.35">
      <c r="A14" s="88">
        <v>1013</v>
      </c>
      <c r="B14" s="89">
        <v>46241</v>
      </c>
      <c r="C14" s="90" t="s">
        <v>42</v>
      </c>
      <c r="D14" s="90" t="s">
        <v>17</v>
      </c>
      <c r="E14" s="90" t="s">
        <v>33</v>
      </c>
      <c r="F14" s="90" t="s">
        <v>13</v>
      </c>
      <c r="G14" s="90">
        <v>3</v>
      </c>
      <c r="H14" s="91">
        <v>13500</v>
      </c>
      <c r="I14" s="90" t="s">
        <v>14</v>
      </c>
      <c r="J14" s="93" t="s">
        <v>16</v>
      </c>
      <c r="L14" s="41">
        <v>1012</v>
      </c>
      <c r="M14" s="41" t="s">
        <v>41</v>
      </c>
      <c r="N14" s="41" t="s">
        <v>22</v>
      </c>
      <c r="O14" s="45" t="str">
        <f t="shared" si="0"/>
        <v>Card</v>
      </c>
    </row>
    <row r="15" spans="1:15" ht="15" thickBot="1" x14ac:dyDescent="0.35">
      <c r="A15" s="94">
        <v>1014</v>
      </c>
      <c r="B15" s="95">
        <v>46241</v>
      </c>
      <c r="C15" s="35" t="s">
        <v>43</v>
      </c>
      <c r="D15" s="35" t="s">
        <v>38</v>
      </c>
      <c r="E15" s="35" t="s">
        <v>31</v>
      </c>
      <c r="F15" s="35" t="s">
        <v>24</v>
      </c>
      <c r="G15" s="35">
        <v>4</v>
      </c>
      <c r="H15" s="96">
        <v>2200</v>
      </c>
      <c r="I15" s="35" t="s">
        <v>25</v>
      </c>
      <c r="J15" s="97" t="s">
        <v>20</v>
      </c>
      <c r="L15" s="41">
        <v>1013</v>
      </c>
      <c r="M15" s="41" t="s">
        <v>42</v>
      </c>
      <c r="N15" s="41" t="s">
        <v>17</v>
      </c>
      <c r="O15" s="45" t="str">
        <f t="shared" si="0"/>
        <v>UPI</v>
      </c>
    </row>
    <row r="16" spans="1:15" ht="15" thickBot="1" x14ac:dyDescent="0.35">
      <c r="A16" s="88">
        <v>1015</v>
      </c>
      <c r="B16" s="89">
        <v>46242</v>
      </c>
      <c r="C16" s="90" t="s">
        <v>44</v>
      </c>
      <c r="D16" s="90" t="s">
        <v>30</v>
      </c>
      <c r="E16" s="90" t="s">
        <v>36</v>
      </c>
      <c r="F16" s="90" t="s">
        <v>13</v>
      </c>
      <c r="G16" s="90">
        <v>1</v>
      </c>
      <c r="H16" s="91">
        <v>11000</v>
      </c>
      <c r="I16" s="90" t="s">
        <v>19</v>
      </c>
      <c r="J16" s="93" t="s">
        <v>26</v>
      </c>
      <c r="L16" s="41">
        <v>1014</v>
      </c>
      <c r="M16" s="41" t="s">
        <v>43</v>
      </c>
      <c r="N16" s="41" t="s">
        <v>38</v>
      </c>
      <c r="O16" s="45" t="str">
        <f t="shared" si="0"/>
        <v>Cash</v>
      </c>
    </row>
    <row r="17" spans="1:15" ht="15" thickBot="1" x14ac:dyDescent="0.35">
      <c r="A17" s="94">
        <v>1016</v>
      </c>
      <c r="B17" s="95">
        <v>46242</v>
      </c>
      <c r="C17" s="35" t="s">
        <v>45</v>
      </c>
      <c r="D17" s="35" t="s">
        <v>87</v>
      </c>
      <c r="E17" s="35" t="s">
        <v>18</v>
      </c>
      <c r="F17" s="35" t="s">
        <v>13</v>
      </c>
      <c r="G17" s="35">
        <v>3</v>
      </c>
      <c r="H17" s="96">
        <v>25000</v>
      </c>
      <c r="I17" s="35" t="s">
        <v>14</v>
      </c>
      <c r="J17" s="97" t="s">
        <v>15</v>
      </c>
      <c r="L17" s="41">
        <v>1020</v>
      </c>
      <c r="M17" s="45"/>
      <c r="N17" s="45"/>
      <c r="O17" s="45" t="str">
        <f t="shared" si="0"/>
        <v xml:space="preserve">not found </v>
      </c>
    </row>
    <row r="18" spans="1:15" ht="15" thickBot="1" x14ac:dyDescent="0.35">
      <c r="A18" s="88">
        <v>1017</v>
      </c>
      <c r="B18" s="89">
        <v>46243</v>
      </c>
      <c r="C18" s="90" t="s">
        <v>46</v>
      </c>
      <c r="D18" s="90" t="s">
        <v>22</v>
      </c>
      <c r="E18" s="90" t="s">
        <v>23</v>
      </c>
      <c r="F18" s="90" t="s">
        <v>24</v>
      </c>
      <c r="G18" s="90">
        <v>5</v>
      </c>
      <c r="H18" s="91">
        <v>1300</v>
      </c>
      <c r="I18" s="90" t="s">
        <v>25</v>
      </c>
      <c r="J18" s="93" t="s">
        <v>16</v>
      </c>
    </row>
    <row r="19" spans="1:15" ht="15" thickBot="1" x14ac:dyDescent="0.35">
      <c r="A19" s="94">
        <v>1018</v>
      </c>
      <c r="B19" s="95">
        <v>46243</v>
      </c>
      <c r="C19" s="35" t="s">
        <v>47</v>
      </c>
      <c r="D19" s="35" t="s">
        <v>17</v>
      </c>
      <c r="E19" s="35" t="s">
        <v>28</v>
      </c>
      <c r="F19" s="35" t="s">
        <v>24</v>
      </c>
      <c r="G19" s="35">
        <v>8</v>
      </c>
      <c r="H19" s="96">
        <v>650</v>
      </c>
      <c r="I19" s="35" t="s">
        <v>19</v>
      </c>
      <c r="J19" s="97" t="s">
        <v>20</v>
      </c>
    </row>
    <row r="20" spans="1:15" ht="15" thickBot="1" x14ac:dyDescent="0.35">
      <c r="A20" s="88">
        <v>1019</v>
      </c>
      <c r="B20" s="89">
        <v>46244</v>
      </c>
      <c r="C20" s="90" t="s">
        <v>20</v>
      </c>
      <c r="D20" s="90" t="s">
        <v>38</v>
      </c>
      <c r="E20" s="90" t="s">
        <v>12</v>
      </c>
      <c r="F20" s="90" t="s">
        <v>13</v>
      </c>
      <c r="G20" s="90">
        <v>2</v>
      </c>
      <c r="H20" s="91">
        <v>60000</v>
      </c>
      <c r="I20" s="90" t="s">
        <v>14</v>
      </c>
      <c r="J20" s="93" t="s">
        <v>26</v>
      </c>
    </row>
    <row r="21" spans="1:15" ht="15" thickBot="1" x14ac:dyDescent="0.35">
      <c r="A21" s="94">
        <v>1020</v>
      </c>
      <c r="B21" s="95">
        <v>46244</v>
      </c>
      <c r="C21" s="35" t="s">
        <v>48</v>
      </c>
      <c r="D21" s="35" t="s">
        <v>30</v>
      </c>
      <c r="E21" s="35" t="s">
        <v>33</v>
      </c>
      <c r="F21" s="35" t="s">
        <v>13</v>
      </c>
      <c r="G21" s="35">
        <v>1</v>
      </c>
      <c r="H21" s="96">
        <v>16000</v>
      </c>
      <c r="I21" s="35" t="s">
        <v>19</v>
      </c>
      <c r="J21" s="97" t="s">
        <v>15</v>
      </c>
    </row>
    <row r="22" spans="1:15" ht="15" thickBot="1" x14ac:dyDescent="0.35">
      <c r="A22" s="88">
        <v>1021</v>
      </c>
      <c r="B22" s="89">
        <v>46245</v>
      </c>
      <c r="C22" s="90" t="s">
        <v>49</v>
      </c>
      <c r="D22" s="90" t="s">
        <v>11</v>
      </c>
      <c r="E22" s="90" t="s">
        <v>36</v>
      </c>
      <c r="F22" s="90" t="s">
        <v>13</v>
      </c>
      <c r="G22" s="90">
        <v>2</v>
      </c>
      <c r="H22" s="91">
        <v>9000</v>
      </c>
      <c r="I22" s="90" t="s">
        <v>14</v>
      </c>
      <c r="J22" s="93" t="s">
        <v>16</v>
      </c>
    </row>
    <row r="23" spans="1:15" ht="15" thickBot="1" x14ac:dyDescent="0.35">
      <c r="A23" s="94">
        <v>1022</v>
      </c>
      <c r="B23" s="95">
        <v>46245</v>
      </c>
      <c r="C23" s="35" t="s">
        <v>50</v>
      </c>
      <c r="D23" s="35" t="s">
        <v>22</v>
      </c>
      <c r="E23" s="35" t="s">
        <v>31</v>
      </c>
      <c r="F23" s="35" t="s">
        <v>24</v>
      </c>
      <c r="G23" s="35">
        <v>3</v>
      </c>
      <c r="H23" s="96">
        <v>2800</v>
      </c>
      <c r="I23" s="35" t="s">
        <v>25</v>
      </c>
      <c r="J23" s="97" t="s">
        <v>20</v>
      </c>
    </row>
    <row r="24" spans="1:15" ht="15" thickBot="1" x14ac:dyDescent="0.35">
      <c r="A24" s="88">
        <v>1023</v>
      </c>
      <c r="B24" s="89">
        <v>46246</v>
      </c>
      <c r="C24" s="90" t="s">
        <v>51</v>
      </c>
      <c r="D24" s="90" t="s">
        <v>17</v>
      </c>
      <c r="E24" s="90" t="s">
        <v>18</v>
      </c>
      <c r="F24" s="90" t="s">
        <v>13</v>
      </c>
      <c r="G24" s="90">
        <v>2</v>
      </c>
      <c r="H24" s="91">
        <v>21000</v>
      </c>
      <c r="I24" s="90" t="s">
        <v>19</v>
      </c>
      <c r="J24" s="93" t="s">
        <v>26</v>
      </c>
    </row>
    <row r="25" spans="1:15" ht="15" thickBot="1" x14ac:dyDescent="0.35">
      <c r="A25" s="94">
        <v>1024</v>
      </c>
      <c r="B25" s="95">
        <v>46246</v>
      </c>
      <c r="C25" s="35" t="s">
        <v>52</v>
      </c>
      <c r="D25" s="35" t="s">
        <v>38</v>
      </c>
      <c r="E25" s="35" t="s">
        <v>23</v>
      </c>
      <c r="F25" s="35" t="s">
        <v>24</v>
      </c>
      <c r="G25" s="35">
        <v>4</v>
      </c>
      <c r="H25" s="96">
        <v>1400</v>
      </c>
      <c r="I25" s="35" t="s">
        <v>14</v>
      </c>
      <c r="J25" s="97" t="s">
        <v>15</v>
      </c>
    </row>
    <row r="26" spans="1:15" ht="15" thickBot="1" x14ac:dyDescent="0.35">
      <c r="A26" s="88">
        <v>1025</v>
      </c>
      <c r="B26" s="89">
        <v>46247</v>
      </c>
      <c r="C26" s="90" t="s">
        <v>53</v>
      </c>
      <c r="D26" s="90" t="s">
        <v>30</v>
      </c>
      <c r="E26" s="90" t="s">
        <v>28</v>
      </c>
      <c r="F26" s="90" t="s">
        <v>24</v>
      </c>
      <c r="G26" s="90">
        <v>5</v>
      </c>
      <c r="H26" s="91">
        <v>750</v>
      </c>
      <c r="I26" s="90" t="s">
        <v>25</v>
      </c>
      <c r="J26" s="93" t="s">
        <v>16</v>
      </c>
    </row>
    <row r="27" spans="1:15" ht="15" thickBot="1" x14ac:dyDescent="0.35">
      <c r="A27" s="94">
        <v>1026</v>
      </c>
      <c r="B27" s="95">
        <v>46247</v>
      </c>
      <c r="C27" s="35" t="s">
        <v>54</v>
      </c>
      <c r="D27" s="35" t="s">
        <v>11</v>
      </c>
      <c r="E27" s="35" t="s">
        <v>12</v>
      </c>
      <c r="F27" s="35" t="s">
        <v>13</v>
      </c>
      <c r="G27" s="35">
        <v>1</v>
      </c>
      <c r="H27" s="96">
        <v>65000</v>
      </c>
      <c r="I27" s="35" t="s">
        <v>19</v>
      </c>
      <c r="J27" s="97" t="s">
        <v>20</v>
      </c>
    </row>
    <row r="28" spans="1:15" ht="15" thickBot="1" x14ac:dyDescent="0.35">
      <c r="A28" s="88">
        <v>1027</v>
      </c>
      <c r="B28" s="89">
        <v>46248</v>
      </c>
      <c r="C28" s="90" t="s">
        <v>55</v>
      </c>
      <c r="D28" s="90" t="s">
        <v>22</v>
      </c>
      <c r="E28" s="90" t="s">
        <v>33</v>
      </c>
      <c r="F28" s="90" t="s">
        <v>13</v>
      </c>
      <c r="G28" s="90">
        <v>2</v>
      </c>
      <c r="H28" s="91">
        <v>14500</v>
      </c>
      <c r="I28" s="90" t="s">
        <v>14</v>
      </c>
      <c r="J28" s="93" t="s">
        <v>26</v>
      </c>
    </row>
    <row r="29" spans="1:15" ht="15" thickBot="1" x14ac:dyDescent="0.35">
      <c r="A29" s="94">
        <v>1028</v>
      </c>
      <c r="B29" s="95">
        <v>46248</v>
      </c>
      <c r="C29" s="35" t="s">
        <v>56</v>
      </c>
      <c r="D29" s="35" t="s">
        <v>17</v>
      </c>
      <c r="E29" s="35" t="s">
        <v>36</v>
      </c>
      <c r="F29" s="35" t="s">
        <v>13</v>
      </c>
      <c r="G29" s="35">
        <v>3</v>
      </c>
      <c r="H29" s="96">
        <v>8500</v>
      </c>
      <c r="I29" s="35" t="s">
        <v>19</v>
      </c>
      <c r="J29" s="97" t="s">
        <v>15</v>
      </c>
    </row>
    <row r="30" spans="1:15" ht="15" thickBot="1" x14ac:dyDescent="0.35">
      <c r="A30" s="88">
        <v>1029</v>
      </c>
      <c r="B30" s="89">
        <v>46249</v>
      </c>
      <c r="C30" s="90" t="s">
        <v>57</v>
      </c>
      <c r="D30" s="90" t="s">
        <v>38</v>
      </c>
      <c r="E30" s="90" t="s">
        <v>18</v>
      </c>
      <c r="F30" s="90" t="s">
        <v>13</v>
      </c>
      <c r="G30" s="90">
        <v>1</v>
      </c>
      <c r="H30" s="91">
        <v>23000</v>
      </c>
      <c r="I30" s="90" t="s">
        <v>25</v>
      </c>
      <c r="J30" s="93" t="s">
        <v>16</v>
      </c>
    </row>
    <row r="31" spans="1:15" ht="15" thickBot="1" x14ac:dyDescent="0.35">
      <c r="A31" s="94">
        <v>1030</v>
      </c>
      <c r="B31" s="95">
        <v>46249</v>
      </c>
      <c r="C31" s="35" t="s">
        <v>58</v>
      </c>
      <c r="D31" s="35" t="s">
        <v>30</v>
      </c>
      <c r="E31" s="35" t="s">
        <v>31</v>
      </c>
      <c r="F31" s="35" t="s">
        <v>24</v>
      </c>
      <c r="G31" s="35">
        <v>2</v>
      </c>
      <c r="H31" s="96">
        <v>3000</v>
      </c>
      <c r="I31" s="35" t="s">
        <v>14</v>
      </c>
      <c r="J31" s="97" t="s">
        <v>20</v>
      </c>
    </row>
    <row r="32" spans="1:15" ht="15" thickBot="1" x14ac:dyDescent="0.35">
      <c r="A32" s="88">
        <v>1031</v>
      </c>
      <c r="B32" s="89">
        <v>46250</v>
      </c>
      <c r="C32" s="90" t="s">
        <v>59</v>
      </c>
      <c r="D32" s="90" t="s">
        <v>11</v>
      </c>
      <c r="E32" s="90" t="s">
        <v>23</v>
      </c>
      <c r="F32" s="90" t="s">
        <v>24</v>
      </c>
      <c r="G32" s="90">
        <v>7</v>
      </c>
      <c r="H32" s="91">
        <v>1100</v>
      </c>
      <c r="I32" s="90" t="s">
        <v>19</v>
      </c>
      <c r="J32" s="93" t="s">
        <v>26</v>
      </c>
    </row>
    <row r="33" spans="1:10" ht="15" thickBot="1" x14ac:dyDescent="0.35">
      <c r="A33" s="94">
        <v>1032</v>
      </c>
      <c r="B33" s="95">
        <v>46250</v>
      </c>
      <c r="C33" s="35" t="s">
        <v>60</v>
      </c>
      <c r="D33" s="35" t="s">
        <v>22</v>
      </c>
      <c r="E33" s="35" t="s">
        <v>28</v>
      </c>
      <c r="F33" s="35" t="s">
        <v>24</v>
      </c>
      <c r="G33" s="35">
        <v>4</v>
      </c>
      <c r="H33" s="96">
        <v>900</v>
      </c>
      <c r="I33" s="35" t="s">
        <v>14</v>
      </c>
      <c r="J33" s="97" t="s">
        <v>15</v>
      </c>
    </row>
    <row r="34" spans="1:10" ht="15" thickBot="1" x14ac:dyDescent="0.35">
      <c r="A34" s="88">
        <v>1033</v>
      </c>
      <c r="B34" s="89">
        <v>46251</v>
      </c>
      <c r="C34" s="90" t="s">
        <v>61</v>
      </c>
      <c r="D34" s="90" t="s">
        <v>17</v>
      </c>
      <c r="E34" s="90" t="s">
        <v>12</v>
      </c>
      <c r="F34" s="90" t="s">
        <v>13</v>
      </c>
      <c r="G34" s="90">
        <v>2</v>
      </c>
      <c r="H34" s="91">
        <v>57000</v>
      </c>
      <c r="I34" s="90" t="s">
        <v>19</v>
      </c>
      <c r="J34" s="93" t="s">
        <v>16</v>
      </c>
    </row>
    <row r="35" spans="1:10" ht="15" thickBot="1" x14ac:dyDescent="0.35">
      <c r="A35" s="94">
        <v>1034</v>
      </c>
      <c r="B35" s="95">
        <v>46251</v>
      </c>
      <c r="C35" s="35" t="s">
        <v>62</v>
      </c>
      <c r="D35" s="35" t="s">
        <v>38</v>
      </c>
      <c r="E35" s="35" t="s">
        <v>33</v>
      </c>
      <c r="F35" s="35" t="s">
        <v>13</v>
      </c>
      <c r="G35" s="35">
        <v>1</v>
      </c>
      <c r="H35" s="96">
        <v>15500</v>
      </c>
      <c r="I35" s="35" t="s">
        <v>25</v>
      </c>
      <c r="J35" s="97" t="s">
        <v>20</v>
      </c>
    </row>
    <row r="36" spans="1:10" ht="15" thickBot="1" x14ac:dyDescent="0.35">
      <c r="A36" s="88">
        <v>1035</v>
      </c>
      <c r="B36" s="89">
        <v>46252</v>
      </c>
      <c r="C36" s="90" t="s">
        <v>63</v>
      </c>
      <c r="D36" s="90" t="s">
        <v>30</v>
      </c>
      <c r="E36" s="90" t="s">
        <v>36</v>
      </c>
      <c r="F36" s="90" t="s">
        <v>13</v>
      </c>
      <c r="G36" s="90">
        <v>2</v>
      </c>
      <c r="H36" s="91">
        <v>10000</v>
      </c>
      <c r="I36" s="90" t="s">
        <v>14</v>
      </c>
      <c r="J36" s="93" t="s">
        <v>26</v>
      </c>
    </row>
    <row r="37" spans="1:10" ht="15" thickBot="1" x14ac:dyDescent="0.35">
      <c r="A37" s="94">
        <v>1036</v>
      </c>
      <c r="B37" s="95">
        <v>46252</v>
      </c>
      <c r="C37" s="35" t="s">
        <v>64</v>
      </c>
      <c r="D37" s="35" t="s">
        <v>11</v>
      </c>
      <c r="E37" s="35" t="s">
        <v>18</v>
      </c>
      <c r="F37" s="35" t="s">
        <v>13</v>
      </c>
      <c r="G37" s="35">
        <v>4</v>
      </c>
      <c r="H37" s="96">
        <v>19500</v>
      </c>
      <c r="I37" s="35" t="s">
        <v>19</v>
      </c>
      <c r="J37" s="97" t="s">
        <v>15</v>
      </c>
    </row>
    <row r="38" spans="1:10" ht="15" thickBot="1" x14ac:dyDescent="0.35">
      <c r="A38" s="88">
        <v>1037</v>
      </c>
      <c r="B38" s="89">
        <v>46253</v>
      </c>
      <c r="C38" s="90" t="s">
        <v>65</v>
      </c>
      <c r="D38" s="90" t="s">
        <v>22</v>
      </c>
      <c r="E38" s="90" t="s">
        <v>23</v>
      </c>
      <c r="F38" s="90" t="s">
        <v>24</v>
      </c>
      <c r="G38" s="90">
        <v>3</v>
      </c>
      <c r="H38" s="91">
        <v>1600</v>
      </c>
      <c r="I38" s="90" t="s">
        <v>14</v>
      </c>
      <c r="J38" s="93" t="s">
        <v>16</v>
      </c>
    </row>
    <row r="39" spans="1:10" ht="15" thickBot="1" x14ac:dyDescent="0.35">
      <c r="A39" s="94">
        <v>1038</v>
      </c>
      <c r="B39" s="95">
        <v>46253</v>
      </c>
      <c r="C39" s="35" t="s">
        <v>66</v>
      </c>
      <c r="D39" s="35" t="s">
        <v>17</v>
      </c>
      <c r="E39" s="35" t="s">
        <v>28</v>
      </c>
      <c r="F39" s="35" t="s">
        <v>24</v>
      </c>
      <c r="G39" s="35">
        <v>6</v>
      </c>
      <c r="H39" s="96">
        <v>850</v>
      </c>
      <c r="I39" s="35" t="s">
        <v>25</v>
      </c>
      <c r="J39" s="97" t="s">
        <v>20</v>
      </c>
    </row>
    <row r="40" spans="1:10" ht="15" thickBot="1" x14ac:dyDescent="0.35">
      <c r="A40" s="88">
        <v>1039</v>
      </c>
      <c r="B40" s="89">
        <v>46254</v>
      </c>
      <c r="C40" s="90" t="s">
        <v>67</v>
      </c>
      <c r="D40" s="90" t="s">
        <v>38</v>
      </c>
      <c r="E40" s="90" t="s">
        <v>12</v>
      </c>
      <c r="F40" s="90" t="s">
        <v>13</v>
      </c>
      <c r="G40" s="90">
        <v>1</v>
      </c>
      <c r="H40" s="91">
        <v>61000</v>
      </c>
      <c r="I40" s="90" t="s">
        <v>19</v>
      </c>
      <c r="J40" s="93" t="s">
        <v>26</v>
      </c>
    </row>
    <row r="41" spans="1:10" ht="15" thickBot="1" x14ac:dyDescent="0.35">
      <c r="A41" s="94">
        <v>1040</v>
      </c>
      <c r="B41" s="95">
        <v>46254</v>
      </c>
      <c r="C41" s="35" t="s">
        <v>68</v>
      </c>
      <c r="D41" s="35" t="s">
        <v>30</v>
      </c>
      <c r="E41" s="35" t="s">
        <v>33</v>
      </c>
      <c r="F41" s="35" t="s">
        <v>13</v>
      </c>
      <c r="G41" s="35">
        <v>2</v>
      </c>
      <c r="H41" s="96">
        <v>12500</v>
      </c>
      <c r="I41" s="35" t="s">
        <v>14</v>
      </c>
      <c r="J41" s="97" t="s">
        <v>15</v>
      </c>
    </row>
    <row r="42" spans="1:10" ht="15" thickBot="1" x14ac:dyDescent="0.35">
      <c r="A42" s="88">
        <v>1041</v>
      </c>
      <c r="B42" s="89">
        <v>46255</v>
      </c>
      <c r="C42" s="90" t="s">
        <v>26</v>
      </c>
      <c r="D42" s="90" t="s">
        <v>11</v>
      </c>
      <c r="E42" s="90" t="s">
        <v>36</v>
      </c>
      <c r="F42" s="90" t="s">
        <v>13</v>
      </c>
      <c r="G42" s="90">
        <v>1</v>
      </c>
      <c r="H42" s="91">
        <v>9500</v>
      </c>
      <c r="I42" s="90" t="s">
        <v>19</v>
      </c>
      <c r="J42" s="93" t="s">
        <v>16</v>
      </c>
    </row>
    <row r="43" spans="1:10" ht="15" thickBot="1" x14ac:dyDescent="0.35">
      <c r="A43" s="94">
        <v>1042</v>
      </c>
      <c r="B43" s="95">
        <v>46255</v>
      </c>
      <c r="C43" s="35" t="s">
        <v>69</v>
      </c>
      <c r="D43" s="35" t="s">
        <v>22</v>
      </c>
      <c r="E43" s="35" t="s">
        <v>31</v>
      </c>
      <c r="F43" s="35" t="s">
        <v>24</v>
      </c>
      <c r="G43" s="35">
        <v>5</v>
      </c>
      <c r="H43" s="96">
        <v>2400</v>
      </c>
      <c r="I43" s="35" t="s">
        <v>25</v>
      </c>
      <c r="J43" s="97" t="s">
        <v>20</v>
      </c>
    </row>
    <row r="44" spans="1:10" ht="15" thickBot="1" x14ac:dyDescent="0.35">
      <c r="A44" s="88">
        <v>1043</v>
      </c>
      <c r="B44" s="89">
        <v>46256</v>
      </c>
      <c r="C44" s="90" t="s">
        <v>70</v>
      </c>
      <c r="D44" s="90" t="s">
        <v>17</v>
      </c>
      <c r="E44" s="90" t="s">
        <v>18</v>
      </c>
      <c r="F44" s="90" t="s">
        <v>13</v>
      </c>
      <c r="G44" s="90">
        <v>2</v>
      </c>
      <c r="H44" s="91">
        <v>26000</v>
      </c>
      <c r="I44" s="90" t="s">
        <v>14</v>
      </c>
      <c r="J44" s="93" t="s">
        <v>26</v>
      </c>
    </row>
    <row r="45" spans="1:10" ht="15" thickBot="1" x14ac:dyDescent="0.35">
      <c r="A45" s="94">
        <v>1044</v>
      </c>
      <c r="B45" s="95">
        <v>46256</v>
      </c>
      <c r="C45" s="35" t="s">
        <v>71</v>
      </c>
      <c r="D45" s="35" t="s">
        <v>38</v>
      </c>
      <c r="E45" s="35" t="s">
        <v>23</v>
      </c>
      <c r="F45" s="35" t="s">
        <v>24</v>
      </c>
      <c r="G45" s="35">
        <v>4</v>
      </c>
      <c r="H45" s="96">
        <v>1250</v>
      </c>
      <c r="I45" s="35" t="s">
        <v>19</v>
      </c>
      <c r="J45" s="97" t="s">
        <v>15</v>
      </c>
    </row>
    <row r="46" spans="1:10" ht="15" thickBot="1" x14ac:dyDescent="0.35">
      <c r="A46" s="88">
        <v>1045</v>
      </c>
      <c r="B46" s="89">
        <v>46257</v>
      </c>
      <c r="C46" s="90" t="s">
        <v>72</v>
      </c>
      <c r="D46" s="90" t="s">
        <v>30</v>
      </c>
      <c r="E46" s="90" t="s">
        <v>28</v>
      </c>
      <c r="F46" s="90" t="s">
        <v>24</v>
      </c>
      <c r="G46" s="90">
        <v>3</v>
      </c>
      <c r="H46" s="91">
        <v>950</v>
      </c>
      <c r="I46" s="90" t="s">
        <v>14</v>
      </c>
      <c r="J46" s="93" t="s">
        <v>16</v>
      </c>
    </row>
    <row r="47" spans="1:10" ht="15" thickBot="1" x14ac:dyDescent="0.35">
      <c r="A47" s="94">
        <v>1046</v>
      </c>
      <c r="B47" s="95">
        <v>46257</v>
      </c>
      <c r="C47" s="35" t="s">
        <v>73</v>
      </c>
      <c r="D47" s="35" t="s">
        <v>11</v>
      </c>
      <c r="E47" s="35" t="s">
        <v>12</v>
      </c>
      <c r="F47" s="35" t="s">
        <v>13</v>
      </c>
      <c r="G47" s="35">
        <v>2</v>
      </c>
      <c r="H47" s="96">
        <v>59000</v>
      </c>
      <c r="I47" s="35" t="s">
        <v>25</v>
      </c>
      <c r="J47" s="97" t="s">
        <v>20</v>
      </c>
    </row>
    <row r="48" spans="1:10" ht="15" thickBot="1" x14ac:dyDescent="0.35">
      <c r="A48" s="88">
        <v>1047</v>
      </c>
      <c r="B48" s="89">
        <v>46258</v>
      </c>
      <c r="C48" s="90" t="s">
        <v>74</v>
      </c>
      <c r="D48" s="90" t="s">
        <v>22</v>
      </c>
      <c r="E48" s="90" t="s">
        <v>33</v>
      </c>
      <c r="F48" s="90" t="s">
        <v>13</v>
      </c>
      <c r="G48" s="90">
        <v>3</v>
      </c>
      <c r="H48" s="91">
        <v>14000</v>
      </c>
      <c r="I48" s="90" t="s">
        <v>19</v>
      </c>
      <c r="J48" s="93" t="s">
        <v>26</v>
      </c>
    </row>
    <row r="49" spans="1:10" ht="15" thickBot="1" x14ac:dyDescent="0.35">
      <c r="A49" s="94">
        <v>1048</v>
      </c>
      <c r="B49" s="95">
        <v>46258</v>
      </c>
      <c r="C49" s="35" t="s">
        <v>75</v>
      </c>
      <c r="D49" s="35" t="s">
        <v>17</v>
      </c>
      <c r="E49" s="35" t="s">
        <v>36</v>
      </c>
      <c r="F49" s="35" t="s">
        <v>13</v>
      </c>
      <c r="G49" s="35">
        <v>2</v>
      </c>
      <c r="H49" s="96">
        <v>9200</v>
      </c>
      <c r="I49" s="35" t="s">
        <v>14</v>
      </c>
      <c r="J49" s="97" t="s">
        <v>15</v>
      </c>
    </row>
    <row r="50" spans="1:10" ht="15" thickBot="1" x14ac:dyDescent="0.35">
      <c r="A50" s="88">
        <v>1049</v>
      </c>
      <c r="B50" s="89">
        <v>46259</v>
      </c>
      <c r="C50" s="90" t="s">
        <v>76</v>
      </c>
      <c r="D50" s="90" t="s">
        <v>38</v>
      </c>
      <c r="E50" s="90" t="s">
        <v>18</v>
      </c>
      <c r="F50" s="90" t="s">
        <v>13</v>
      </c>
      <c r="G50" s="90">
        <v>3</v>
      </c>
      <c r="H50" s="91">
        <v>20000</v>
      </c>
      <c r="I50" s="90" t="s">
        <v>19</v>
      </c>
      <c r="J50" s="93" t="s">
        <v>16</v>
      </c>
    </row>
    <row r="51" spans="1:10" ht="15" thickBot="1" x14ac:dyDescent="0.35">
      <c r="A51" s="103">
        <v>1050</v>
      </c>
      <c r="B51" s="104">
        <v>46259</v>
      </c>
      <c r="C51" s="105" t="s">
        <v>77</v>
      </c>
      <c r="D51" s="105" t="s">
        <v>30</v>
      </c>
      <c r="E51" s="105" t="s">
        <v>31</v>
      </c>
      <c r="F51" s="105" t="s">
        <v>24</v>
      </c>
      <c r="G51" s="105">
        <v>4</v>
      </c>
      <c r="H51" s="106">
        <v>2700</v>
      </c>
      <c r="I51" s="105" t="s">
        <v>25</v>
      </c>
      <c r="J51" s="11" t="s">
        <v>20</v>
      </c>
    </row>
    <row r="52" spans="1:10" ht="15" thickTop="1" x14ac:dyDescent="0.3"/>
  </sheetData>
  <mergeCells count="1">
    <mergeCell ref="L1:O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6BF1E-48AF-454C-BFD8-A5A20968762D}">
  <dimension ref="A1:J65"/>
  <sheetViews>
    <sheetView tabSelected="1" topLeftCell="A42" workbookViewId="0">
      <selection activeCell="A57" sqref="A57:J65"/>
    </sheetView>
  </sheetViews>
  <sheetFormatPr defaultRowHeight="14.4" x14ac:dyDescent="0.3"/>
  <cols>
    <col min="1" max="1" width="9.44140625" customWidth="1"/>
    <col min="2" max="2" width="10.33203125" bestFit="1" customWidth="1"/>
    <col min="3" max="3" width="11" customWidth="1"/>
    <col min="4" max="4" width="8.21875" bestFit="1" customWidth="1"/>
    <col min="5" max="5" width="11.109375" bestFit="1" customWidth="1"/>
    <col min="6" max="6" width="10.44140625" bestFit="1" customWidth="1"/>
    <col min="7" max="7" width="10.21875" customWidth="1"/>
    <col min="8" max="8" width="10.5546875" customWidth="1"/>
    <col min="9" max="9" width="15.44140625" customWidth="1"/>
    <col min="10" max="10" width="12.88671875" customWidth="1"/>
    <col min="12" max="12" width="22.109375" customWidth="1"/>
    <col min="14" max="14" width="7.5546875" bestFit="1" customWidth="1"/>
    <col min="15" max="15" width="10.33203125" bestFit="1" customWidth="1"/>
    <col min="16" max="16" width="10.5546875" customWidth="1"/>
    <col min="17" max="17" width="8.21875" bestFit="1" customWidth="1"/>
    <col min="18" max="18" width="11.109375" bestFit="1" customWidth="1"/>
    <col min="19" max="19" width="10.44140625" bestFit="1" customWidth="1"/>
    <col min="20" max="20" width="8.33203125" bestFit="1" customWidth="1"/>
    <col min="21" max="21" width="10.44140625" bestFit="1" customWidth="1"/>
    <col min="22" max="22" width="13.6640625" bestFit="1" customWidth="1"/>
    <col min="23" max="23" width="11" bestFit="1" customWidth="1"/>
  </cols>
  <sheetData>
    <row r="1" spans="1:10" ht="15" thickBot="1" x14ac:dyDescent="0.35">
      <c r="A1" s="119" t="s">
        <v>0</v>
      </c>
      <c r="B1" s="31" t="s">
        <v>1</v>
      </c>
      <c r="C1" s="31" t="s">
        <v>2</v>
      </c>
      <c r="D1" s="31" t="s">
        <v>3</v>
      </c>
      <c r="E1" s="31" t="s">
        <v>4</v>
      </c>
      <c r="F1" s="31" t="s">
        <v>5</v>
      </c>
      <c r="G1" s="31" t="s">
        <v>6</v>
      </c>
      <c r="H1" s="32" t="s">
        <v>7</v>
      </c>
      <c r="I1" s="31" t="s">
        <v>8</v>
      </c>
      <c r="J1" s="120" t="s">
        <v>9</v>
      </c>
    </row>
    <row r="2" spans="1:10" ht="15" thickBot="1" x14ac:dyDescent="0.35">
      <c r="A2" s="5">
        <v>1001</v>
      </c>
      <c r="B2" s="6">
        <v>46235</v>
      </c>
      <c r="C2" s="3" t="s">
        <v>10</v>
      </c>
      <c r="D2" s="3" t="s">
        <v>11</v>
      </c>
      <c r="E2" s="3" t="s">
        <v>12</v>
      </c>
      <c r="F2" s="3" t="s">
        <v>13</v>
      </c>
      <c r="G2" s="3">
        <v>2</v>
      </c>
      <c r="H2" s="13">
        <v>55000</v>
      </c>
      <c r="I2" s="64"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87</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5">
        <v>1050</v>
      </c>
      <c r="B51" s="6">
        <v>46260</v>
      </c>
      <c r="C51" s="3" t="s">
        <v>76</v>
      </c>
      <c r="D51" s="3" t="s">
        <v>38</v>
      </c>
      <c r="E51" s="3" t="s">
        <v>18</v>
      </c>
      <c r="F51" s="3" t="s">
        <v>24</v>
      </c>
      <c r="G51" s="3">
        <v>3</v>
      </c>
      <c r="H51" s="13">
        <v>20000</v>
      </c>
      <c r="I51" s="3" t="s">
        <v>19</v>
      </c>
      <c r="J51" s="7" t="s">
        <v>58</v>
      </c>
    </row>
    <row r="52" spans="1:10" ht="15" thickBot="1" x14ac:dyDescent="0.35">
      <c r="A52" s="5">
        <v>1051</v>
      </c>
      <c r="B52" s="6">
        <v>46261</v>
      </c>
      <c r="C52" s="3" t="s">
        <v>76</v>
      </c>
      <c r="D52" s="3" t="s">
        <v>38</v>
      </c>
      <c r="E52" s="3" t="s">
        <v>18</v>
      </c>
      <c r="F52" s="3" t="s">
        <v>13</v>
      </c>
      <c r="G52" s="3">
        <v>3</v>
      </c>
      <c r="H52" s="13">
        <v>20000</v>
      </c>
      <c r="I52" s="3" t="s">
        <v>19</v>
      </c>
      <c r="J52" s="7" t="s">
        <v>15</v>
      </c>
    </row>
    <row r="53" spans="1:10" ht="15" thickBot="1" x14ac:dyDescent="0.35">
      <c r="A53" s="5">
        <v>1052</v>
      </c>
      <c r="B53" s="6">
        <v>46262</v>
      </c>
      <c r="C53" s="3" t="s">
        <v>76</v>
      </c>
      <c r="D53" s="3" t="s">
        <v>38</v>
      </c>
      <c r="E53" s="3" t="s">
        <v>18</v>
      </c>
      <c r="F53" s="3" t="s">
        <v>24</v>
      </c>
      <c r="G53" s="3">
        <v>5</v>
      </c>
      <c r="H53" s="13">
        <v>20000</v>
      </c>
      <c r="I53" s="3" t="s">
        <v>19</v>
      </c>
      <c r="J53" s="7" t="s">
        <v>74</v>
      </c>
    </row>
    <row r="54" spans="1:10" ht="15" thickBot="1" x14ac:dyDescent="0.35">
      <c r="A54" s="5">
        <v>1053</v>
      </c>
      <c r="B54" s="6">
        <v>46263</v>
      </c>
      <c r="C54" s="3" t="s">
        <v>76</v>
      </c>
      <c r="D54" s="3" t="s">
        <v>38</v>
      </c>
      <c r="E54" s="3" t="s">
        <v>18</v>
      </c>
      <c r="F54" s="3" t="s">
        <v>13</v>
      </c>
      <c r="G54" s="3">
        <v>5</v>
      </c>
      <c r="H54" s="13">
        <v>20000</v>
      </c>
      <c r="I54" s="3" t="s">
        <v>19</v>
      </c>
      <c r="J54" s="7" t="s">
        <v>20</v>
      </c>
    </row>
    <row r="55" spans="1:10" ht="15" thickBot="1" x14ac:dyDescent="0.35">
      <c r="A55" s="5">
        <v>1054</v>
      </c>
      <c r="B55" s="6">
        <v>46264</v>
      </c>
      <c r="C55" s="3" t="s">
        <v>76</v>
      </c>
      <c r="D55" s="3" t="s">
        <v>38</v>
      </c>
      <c r="E55" s="3" t="s">
        <v>18</v>
      </c>
      <c r="F55" s="3" t="s">
        <v>24</v>
      </c>
      <c r="G55" s="3">
        <v>4</v>
      </c>
      <c r="H55" s="13">
        <v>20000</v>
      </c>
      <c r="I55" s="3" t="s">
        <v>19</v>
      </c>
      <c r="J55" s="7" t="s">
        <v>58</v>
      </c>
    </row>
    <row r="56" spans="1:10" ht="15" thickBot="1" x14ac:dyDescent="0.35">
      <c r="A56" s="5">
        <v>1055</v>
      </c>
      <c r="B56" s="6">
        <v>46265</v>
      </c>
      <c r="C56" s="3" t="s">
        <v>76</v>
      </c>
      <c r="D56" s="3" t="s">
        <v>38</v>
      </c>
      <c r="E56" s="3" t="s">
        <v>18</v>
      </c>
      <c r="F56" s="3" t="s">
        <v>13</v>
      </c>
      <c r="G56" s="3">
        <v>4</v>
      </c>
      <c r="H56" s="13">
        <v>20000</v>
      </c>
      <c r="I56" s="3" t="s">
        <v>19</v>
      </c>
      <c r="J56" s="7" t="s">
        <v>20</v>
      </c>
    </row>
    <row r="57" spans="1:10" ht="15" thickBot="1" x14ac:dyDescent="0.35">
      <c r="A57" s="5">
        <v>1056</v>
      </c>
      <c r="B57" s="6">
        <v>46266</v>
      </c>
      <c r="C57" s="3" t="s">
        <v>76</v>
      </c>
      <c r="D57" s="3" t="s">
        <v>38</v>
      </c>
      <c r="E57" s="3" t="s">
        <v>18</v>
      </c>
      <c r="F57" s="3" t="s">
        <v>24</v>
      </c>
      <c r="G57" s="3">
        <v>4</v>
      </c>
      <c r="H57" s="13">
        <v>20000</v>
      </c>
      <c r="I57" s="3" t="s">
        <v>19</v>
      </c>
      <c r="J57" s="7" t="s">
        <v>58</v>
      </c>
    </row>
    <row r="58" spans="1:10" ht="15" thickBot="1" x14ac:dyDescent="0.35">
      <c r="A58" s="5">
        <v>1057</v>
      </c>
      <c r="B58" s="6">
        <v>46267</v>
      </c>
      <c r="C58" s="3" t="s">
        <v>76</v>
      </c>
      <c r="D58" s="3" t="s">
        <v>38</v>
      </c>
      <c r="E58" s="3" t="s">
        <v>18</v>
      </c>
      <c r="F58" s="3" t="s">
        <v>13</v>
      </c>
      <c r="G58" s="3">
        <v>4</v>
      </c>
      <c r="H58" s="13">
        <v>20000</v>
      </c>
      <c r="I58" s="3" t="s">
        <v>19</v>
      </c>
      <c r="J58" s="7" t="s">
        <v>15</v>
      </c>
    </row>
    <row r="59" spans="1:10" ht="15" thickBot="1" x14ac:dyDescent="0.35">
      <c r="A59" s="5">
        <v>1058</v>
      </c>
      <c r="B59" s="6">
        <v>46268</v>
      </c>
      <c r="C59" s="3" t="s">
        <v>76</v>
      </c>
      <c r="D59" s="3" t="s">
        <v>38</v>
      </c>
      <c r="E59" s="3" t="s">
        <v>18</v>
      </c>
      <c r="F59" s="3" t="s">
        <v>24</v>
      </c>
      <c r="G59" s="3">
        <v>4</v>
      </c>
      <c r="H59" s="13">
        <v>20000</v>
      </c>
      <c r="I59" s="3" t="s">
        <v>19</v>
      </c>
      <c r="J59" s="7" t="s">
        <v>74</v>
      </c>
    </row>
    <row r="60" spans="1:10" ht="15" thickBot="1" x14ac:dyDescent="0.35">
      <c r="A60" s="5">
        <v>1059</v>
      </c>
      <c r="B60" s="6">
        <v>46269</v>
      </c>
      <c r="C60" s="3" t="s">
        <v>76</v>
      </c>
      <c r="D60" s="3" t="s">
        <v>38</v>
      </c>
      <c r="E60" s="3" t="s">
        <v>18</v>
      </c>
      <c r="F60" s="3" t="s">
        <v>13</v>
      </c>
      <c r="G60" s="3">
        <v>4</v>
      </c>
      <c r="H60" s="13">
        <v>20000</v>
      </c>
      <c r="I60" s="3" t="s">
        <v>19</v>
      </c>
      <c r="J60" s="7" t="s">
        <v>20</v>
      </c>
    </row>
    <row r="61" spans="1:10" ht="15" thickBot="1" x14ac:dyDescent="0.35">
      <c r="A61" s="5">
        <v>1060</v>
      </c>
      <c r="B61" s="6">
        <v>46270</v>
      </c>
      <c r="C61" s="3" t="s">
        <v>76</v>
      </c>
      <c r="D61" s="3" t="s">
        <v>38</v>
      </c>
      <c r="E61" s="3" t="s">
        <v>18</v>
      </c>
      <c r="F61" s="3" t="s">
        <v>24</v>
      </c>
      <c r="G61" s="3">
        <v>4</v>
      </c>
      <c r="H61" s="13">
        <v>20000</v>
      </c>
      <c r="I61" s="3" t="s">
        <v>19</v>
      </c>
      <c r="J61" s="7" t="s">
        <v>58</v>
      </c>
    </row>
    <row r="62" spans="1:10" ht="15" thickBot="1" x14ac:dyDescent="0.35">
      <c r="A62" s="5">
        <v>1061</v>
      </c>
      <c r="B62" s="6">
        <v>46271</v>
      </c>
      <c r="C62" s="3" t="s">
        <v>76</v>
      </c>
      <c r="D62" s="3" t="s">
        <v>38</v>
      </c>
      <c r="E62" s="3" t="s">
        <v>18</v>
      </c>
      <c r="F62" s="3" t="s">
        <v>13</v>
      </c>
      <c r="G62" s="3">
        <v>4</v>
      </c>
      <c r="H62" s="13">
        <v>20000</v>
      </c>
      <c r="I62" s="3" t="s">
        <v>19</v>
      </c>
      <c r="J62" s="7" t="s">
        <v>16</v>
      </c>
    </row>
    <row r="63" spans="1:10" ht="15" thickBot="1" x14ac:dyDescent="0.35">
      <c r="A63" s="5">
        <v>1062</v>
      </c>
      <c r="B63" s="6">
        <v>46272</v>
      </c>
      <c r="C63" s="3" t="s">
        <v>76</v>
      </c>
      <c r="D63" s="3" t="s">
        <v>38</v>
      </c>
      <c r="E63" s="3" t="s">
        <v>18</v>
      </c>
      <c r="F63" s="3" t="s">
        <v>24</v>
      </c>
      <c r="G63" s="3">
        <v>4</v>
      </c>
      <c r="H63" s="13">
        <v>20000</v>
      </c>
      <c r="I63" s="3" t="s">
        <v>19</v>
      </c>
      <c r="J63" s="7" t="s">
        <v>58</v>
      </c>
    </row>
    <row r="64" spans="1:10" ht="15" thickBot="1" x14ac:dyDescent="0.35">
      <c r="A64" s="5">
        <v>1063</v>
      </c>
      <c r="B64" s="6">
        <v>46273</v>
      </c>
      <c r="C64" s="3" t="s">
        <v>76</v>
      </c>
      <c r="D64" s="3" t="s">
        <v>38</v>
      </c>
      <c r="E64" s="3" t="s">
        <v>18</v>
      </c>
      <c r="F64" s="3" t="s">
        <v>13</v>
      </c>
      <c r="G64" s="3">
        <v>4</v>
      </c>
      <c r="H64" s="13">
        <v>20000</v>
      </c>
      <c r="I64" s="3" t="s">
        <v>19</v>
      </c>
      <c r="J64" s="7" t="s">
        <v>15</v>
      </c>
    </row>
    <row r="65" spans="1:10" ht="15" thickBot="1" x14ac:dyDescent="0.35">
      <c r="A65" s="5">
        <v>1064</v>
      </c>
      <c r="B65" s="6">
        <v>46274</v>
      </c>
      <c r="C65" s="3" t="s">
        <v>76</v>
      </c>
      <c r="D65" s="3" t="s">
        <v>38</v>
      </c>
      <c r="E65" s="3" t="s">
        <v>18</v>
      </c>
      <c r="F65" s="3" t="s">
        <v>24</v>
      </c>
      <c r="G65" s="3">
        <v>4</v>
      </c>
      <c r="H65" s="13">
        <v>20000</v>
      </c>
      <c r="I65" s="3" t="s">
        <v>19</v>
      </c>
      <c r="J65" s="7" t="s">
        <v>74</v>
      </c>
    </row>
  </sheetData>
  <phoneticPr fontId="14" type="noConversion"/>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B5914-2908-454E-A6CC-4832A06D0F1D}">
  <dimension ref="A1:J20"/>
  <sheetViews>
    <sheetView workbookViewId="0"/>
  </sheetViews>
  <sheetFormatPr defaultRowHeight="14.4" x14ac:dyDescent="0.3"/>
  <cols>
    <col min="1" max="1" width="9.77734375" bestFit="1" customWidth="1"/>
    <col min="2" max="2" width="10.33203125" bestFit="1" customWidth="1"/>
    <col min="3" max="3" width="13.21875" bestFit="1" customWidth="1"/>
    <col min="4" max="4" width="11.33203125" bestFit="1" customWidth="1"/>
    <col min="5" max="5" width="11.109375" bestFit="1" customWidth="1"/>
    <col min="6" max="6" width="10.77734375" bestFit="1" customWidth="1"/>
    <col min="7" max="7" width="10.5546875" bestFit="1" customWidth="1"/>
    <col min="8" max="8" width="10.88671875" bestFit="1" customWidth="1"/>
    <col min="9" max="9" width="15.88671875" bestFit="1" customWidth="1"/>
    <col min="10" max="10" width="13.21875" bestFit="1" customWidth="1"/>
  </cols>
  <sheetData>
    <row r="1" spans="1:10" x14ac:dyDescent="0.3">
      <c r="A1" t="s">
        <v>0</v>
      </c>
      <c r="B1" t="s">
        <v>1</v>
      </c>
      <c r="C1" t="s">
        <v>102</v>
      </c>
      <c r="D1" t="s">
        <v>103</v>
      </c>
      <c r="E1" t="s">
        <v>4</v>
      </c>
      <c r="F1" t="s">
        <v>5</v>
      </c>
      <c r="G1" t="s">
        <v>6</v>
      </c>
      <c r="H1" t="s">
        <v>7</v>
      </c>
      <c r="I1" t="s">
        <v>8</v>
      </c>
      <c r="J1" t="s">
        <v>9</v>
      </c>
    </row>
    <row r="2" spans="1:10" x14ac:dyDescent="0.3">
      <c r="A2">
        <v>1001</v>
      </c>
      <c r="B2" s="67">
        <v>46235</v>
      </c>
      <c r="C2" t="s">
        <v>104</v>
      </c>
      <c r="E2" t="s">
        <v>12</v>
      </c>
      <c r="F2" t="s">
        <v>13</v>
      </c>
      <c r="G2">
        <v>2</v>
      </c>
      <c r="H2">
        <v>55000</v>
      </c>
      <c r="I2" t="s">
        <v>14</v>
      </c>
      <c r="J2" t="s">
        <v>15</v>
      </c>
    </row>
    <row r="3" spans="1:10" x14ac:dyDescent="0.3">
      <c r="A3">
        <v>1004</v>
      </c>
      <c r="B3" s="67">
        <v>46236</v>
      </c>
      <c r="C3" t="s">
        <v>105</v>
      </c>
      <c r="E3" t="s">
        <v>28</v>
      </c>
      <c r="F3" t="s">
        <v>24</v>
      </c>
      <c r="G3">
        <v>4</v>
      </c>
      <c r="H3">
        <v>800</v>
      </c>
      <c r="I3" t="s">
        <v>14</v>
      </c>
      <c r="J3" t="s">
        <v>15</v>
      </c>
    </row>
    <row r="4" spans="1:10" x14ac:dyDescent="0.3">
      <c r="A4">
        <v>1006</v>
      </c>
      <c r="B4" s="67">
        <v>46237</v>
      </c>
      <c r="C4" t="s">
        <v>106</v>
      </c>
      <c r="E4" t="s">
        <v>33</v>
      </c>
      <c r="F4" t="s">
        <v>13</v>
      </c>
      <c r="G4">
        <v>2</v>
      </c>
      <c r="H4">
        <v>15000</v>
      </c>
      <c r="I4" t="s">
        <v>14</v>
      </c>
      <c r="J4" t="s">
        <v>20</v>
      </c>
    </row>
    <row r="5" spans="1:10" x14ac:dyDescent="0.3">
      <c r="A5">
        <v>1009</v>
      </c>
      <c r="B5" s="67">
        <v>46239</v>
      </c>
      <c r="C5" t="s">
        <v>107</v>
      </c>
      <c r="E5" t="s">
        <v>78</v>
      </c>
      <c r="F5" t="s">
        <v>13</v>
      </c>
      <c r="G5">
        <v>2</v>
      </c>
      <c r="H5">
        <v>18000</v>
      </c>
      <c r="I5" t="s">
        <v>14</v>
      </c>
      <c r="J5" t="s">
        <v>16</v>
      </c>
    </row>
    <row r="6" spans="1:10" x14ac:dyDescent="0.3">
      <c r="A6">
        <v>1011</v>
      </c>
      <c r="B6" s="67">
        <v>46240</v>
      </c>
      <c r="C6" t="s">
        <v>108</v>
      </c>
      <c r="E6" t="s">
        <v>28</v>
      </c>
      <c r="F6" t="s">
        <v>24</v>
      </c>
      <c r="G6">
        <v>6</v>
      </c>
      <c r="H6">
        <v>700</v>
      </c>
      <c r="I6" t="s">
        <v>14</v>
      </c>
      <c r="J6" t="s">
        <v>26</v>
      </c>
    </row>
    <row r="7" spans="1:10" x14ac:dyDescent="0.3">
      <c r="A7">
        <v>1013</v>
      </c>
      <c r="B7" s="67">
        <v>46241</v>
      </c>
      <c r="C7" t="s">
        <v>109</v>
      </c>
      <c r="E7" t="s">
        <v>33</v>
      </c>
      <c r="F7" t="s">
        <v>13</v>
      </c>
      <c r="G7">
        <v>3</v>
      </c>
      <c r="H7">
        <v>13500</v>
      </c>
      <c r="I7" t="s">
        <v>14</v>
      </c>
      <c r="J7" t="s">
        <v>16</v>
      </c>
    </row>
    <row r="8" spans="1:10" x14ac:dyDescent="0.3">
      <c r="A8">
        <v>1016</v>
      </c>
      <c r="B8" s="67">
        <v>46242</v>
      </c>
      <c r="C8" t="s">
        <v>110</v>
      </c>
      <c r="E8" t="s">
        <v>18</v>
      </c>
      <c r="F8" t="s">
        <v>13</v>
      </c>
      <c r="G8">
        <v>3</v>
      </c>
      <c r="H8">
        <v>25000</v>
      </c>
      <c r="I8" t="s">
        <v>14</v>
      </c>
      <c r="J8" t="s">
        <v>15</v>
      </c>
    </row>
    <row r="9" spans="1:10" x14ac:dyDescent="0.3">
      <c r="A9">
        <v>1019</v>
      </c>
      <c r="B9" s="67">
        <v>46244</v>
      </c>
      <c r="C9" t="s">
        <v>111</v>
      </c>
      <c r="E9" t="s">
        <v>12</v>
      </c>
      <c r="F9" t="s">
        <v>13</v>
      </c>
      <c r="G9">
        <v>2</v>
      </c>
      <c r="H9">
        <v>60000</v>
      </c>
      <c r="I9" t="s">
        <v>14</v>
      </c>
      <c r="J9" t="s">
        <v>26</v>
      </c>
    </row>
    <row r="10" spans="1:10" x14ac:dyDescent="0.3">
      <c r="A10">
        <v>1021</v>
      </c>
      <c r="B10" s="67">
        <v>46245</v>
      </c>
      <c r="C10" t="s">
        <v>112</v>
      </c>
      <c r="E10" t="s">
        <v>36</v>
      </c>
      <c r="F10" t="s">
        <v>13</v>
      </c>
      <c r="G10">
        <v>2</v>
      </c>
      <c r="H10">
        <v>9000</v>
      </c>
      <c r="I10" t="s">
        <v>14</v>
      </c>
      <c r="J10" t="s">
        <v>16</v>
      </c>
    </row>
    <row r="11" spans="1:10" x14ac:dyDescent="0.3">
      <c r="A11">
        <v>1024</v>
      </c>
      <c r="B11" s="67">
        <v>46246</v>
      </c>
      <c r="C11" t="s">
        <v>113</v>
      </c>
      <c r="E11" t="s">
        <v>23</v>
      </c>
      <c r="F11" t="s">
        <v>24</v>
      </c>
      <c r="G11">
        <v>4</v>
      </c>
      <c r="H11">
        <v>1400</v>
      </c>
      <c r="I11" t="s">
        <v>14</v>
      </c>
      <c r="J11" t="s">
        <v>15</v>
      </c>
    </row>
    <row r="12" spans="1:10" x14ac:dyDescent="0.3">
      <c r="A12">
        <v>1027</v>
      </c>
      <c r="B12" s="67">
        <v>46248</v>
      </c>
      <c r="C12" t="s">
        <v>114</v>
      </c>
      <c r="E12" t="s">
        <v>33</v>
      </c>
      <c r="F12" t="s">
        <v>13</v>
      </c>
      <c r="G12">
        <v>2</v>
      </c>
      <c r="H12">
        <v>14500</v>
      </c>
      <c r="I12" t="s">
        <v>14</v>
      </c>
      <c r="J12" t="s">
        <v>26</v>
      </c>
    </row>
    <row r="13" spans="1:10" x14ac:dyDescent="0.3">
      <c r="A13">
        <v>1030</v>
      </c>
      <c r="B13" s="67">
        <v>46249</v>
      </c>
      <c r="C13" t="s">
        <v>115</v>
      </c>
      <c r="E13" t="s">
        <v>31</v>
      </c>
      <c r="F13" t="s">
        <v>24</v>
      </c>
      <c r="G13">
        <v>2</v>
      </c>
      <c r="H13">
        <v>3000</v>
      </c>
      <c r="I13" t="s">
        <v>14</v>
      </c>
      <c r="J13" t="s">
        <v>20</v>
      </c>
    </row>
    <row r="14" spans="1:10" x14ac:dyDescent="0.3">
      <c r="A14">
        <v>1032</v>
      </c>
      <c r="B14" s="67">
        <v>46250</v>
      </c>
      <c r="C14" t="s">
        <v>116</v>
      </c>
      <c r="E14" t="s">
        <v>28</v>
      </c>
      <c r="F14" t="s">
        <v>24</v>
      </c>
      <c r="G14">
        <v>4</v>
      </c>
      <c r="H14">
        <v>900</v>
      </c>
      <c r="I14" t="s">
        <v>14</v>
      </c>
      <c r="J14" t="s">
        <v>15</v>
      </c>
    </row>
    <row r="15" spans="1:10" x14ac:dyDescent="0.3">
      <c r="A15">
        <v>1035</v>
      </c>
      <c r="B15" s="67">
        <v>46252</v>
      </c>
      <c r="C15" t="s">
        <v>117</v>
      </c>
      <c r="E15" t="s">
        <v>36</v>
      </c>
      <c r="F15" t="s">
        <v>13</v>
      </c>
      <c r="G15">
        <v>2</v>
      </c>
      <c r="H15">
        <v>10000</v>
      </c>
      <c r="I15" t="s">
        <v>14</v>
      </c>
      <c r="J15" t="s">
        <v>26</v>
      </c>
    </row>
    <row r="16" spans="1:10" x14ac:dyDescent="0.3">
      <c r="A16">
        <v>1037</v>
      </c>
      <c r="B16" s="67">
        <v>46253</v>
      </c>
      <c r="C16" t="s">
        <v>118</v>
      </c>
      <c r="E16" t="s">
        <v>23</v>
      </c>
      <c r="F16" t="s">
        <v>24</v>
      </c>
      <c r="G16">
        <v>3</v>
      </c>
      <c r="H16">
        <v>1600</v>
      </c>
      <c r="I16" t="s">
        <v>14</v>
      </c>
      <c r="J16" t="s">
        <v>16</v>
      </c>
    </row>
    <row r="17" spans="1:10" x14ac:dyDescent="0.3">
      <c r="A17">
        <v>1040</v>
      </c>
      <c r="B17" s="67">
        <v>46254</v>
      </c>
      <c r="C17" t="s">
        <v>119</v>
      </c>
      <c r="E17" t="s">
        <v>33</v>
      </c>
      <c r="F17" t="s">
        <v>13</v>
      </c>
      <c r="G17">
        <v>2</v>
      </c>
      <c r="H17">
        <v>12500</v>
      </c>
      <c r="I17" t="s">
        <v>14</v>
      </c>
      <c r="J17" t="s">
        <v>15</v>
      </c>
    </row>
    <row r="18" spans="1:10" x14ac:dyDescent="0.3">
      <c r="A18">
        <v>1043</v>
      </c>
      <c r="B18" s="67">
        <v>46256</v>
      </c>
      <c r="C18" t="s">
        <v>120</v>
      </c>
      <c r="E18" t="s">
        <v>18</v>
      </c>
      <c r="F18" t="s">
        <v>13</v>
      </c>
      <c r="G18">
        <v>2</v>
      </c>
      <c r="H18">
        <v>26000</v>
      </c>
      <c r="I18" t="s">
        <v>14</v>
      </c>
      <c r="J18" t="s">
        <v>26</v>
      </c>
    </row>
    <row r="19" spans="1:10" x14ac:dyDescent="0.3">
      <c r="A19">
        <v>1045</v>
      </c>
      <c r="B19" s="67">
        <v>46257</v>
      </c>
      <c r="C19" t="s">
        <v>121</v>
      </c>
      <c r="E19" t="s">
        <v>28</v>
      </c>
      <c r="F19" t="s">
        <v>24</v>
      </c>
      <c r="G19">
        <v>3</v>
      </c>
      <c r="H19">
        <v>950</v>
      </c>
      <c r="I19" t="s">
        <v>14</v>
      </c>
      <c r="J19" t="s">
        <v>16</v>
      </c>
    </row>
    <row r="20" spans="1:10" x14ac:dyDescent="0.3">
      <c r="A20">
        <v>1048</v>
      </c>
      <c r="B20" s="67">
        <v>46258</v>
      </c>
      <c r="C20" t="s">
        <v>122</v>
      </c>
      <c r="E20" t="s">
        <v>36</v>
      </c>
      <c r="F20" t="s">
        <v>13</v>
      </c>
      <c r="G20">
        <v>2</v>
      </c>
      <c r="H20">
        <v>9200</v>
      </c>
      <c r="I20" t="s">
        <v>14</v>
      </c>
      <c r="J20" t="s">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9813DA-AAE9-4A33-BD94-B6D4E130F920}">
  <dimension ref="A1"/>
  <sheetViews>
    <sheetView workbookViewId="0"/>
  </sheetViews>
  <sheetFormatPr defaultRowHeight="14.4" x14ac:dyDescent="0.3"/>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25252-9F59-4B98-899C-0376506ACD11}">
  <dimension ref="A1:J20"/>
  <sheetViews>
    <sheetView workbookViewId="0">
      <selection sqref="A1:J20"/>
    </sheetView>
  </sheetViews>
  <sheetFormatPr defaultRowHeight="14.4" x14ac:dyDescent="0.3"/>
  <cols>
    <col min="1" max="1" width="9.44140625" customWidth="1"/>
    <col min="2" max="2" width="10.33203125" bestFit="1" customWidth="1"/>
    <col min="3" max="3" width="11" customWidth="1"/>
    <col min="4" max="4" width="8.21875" bestFit="1" customWidth="1"/>
    <col min="5" max="5" width="11.109375" bestFit="1" customWidth="1"/>
    <col min="6" max="6" width="10.44140625" bestFit="1" customWidth="1"/>
    <col min="7" max="7" width="10.21875" customWidth="1"/>
    <col min="8" max="8" width="10.5546875" customWidth="1"/>
    <col min="9" max="9" width="15.44140625" customWidth="1"/>
    <col min="10" max="10" width="12.88671875" customWidth="1"/>
  </cols>
  <sheetData>
    <row r="1" spans="1:10" ht="15.6" thickTop="1" thickBot="1" x14ac:dyDescent="0.35">
      <c r="A1" s="84" t="s">
        <v>0</v>
      </c>
      <c r="B1" s="85" t="s">
        <v>1</v>
      </c>
      <c r="C1" s="85" t="s">
        <v>2</v>
      </c>
      <c r="D1" s="85" t="s">
        <v>3</v>
      </c>
      <c r="E1" s="85" t="s">
        <v>4</v>
      </c>
      <c r="F1" s="85" t="s">
        <v>5</v>
      </c>
      <c r="G1" s="85" t="s">
        <v>6</v>
      </c>
      <c r="H1" s="86" t="s">
        <v>7</v>
      </c>
      <c r="I1" s="85" t="s">
        <v>8</v>
      </c>
      <c r="J1" s="87" t="s">
        <v>9</v>
      </c>
    </row>
    <row r="2" spans="1:10" ht="15" thickBot="1" x14ac:dyDescent="0.35">
      <c r="A2" s="88">
        <v>1001</v>
      </c>
      <c r="B2" s="89">
        <v>46235</v>
      </c>
      <c r="C2" s="90" t="s">
        <v>10</v>
      </c>
      <c r="D2" s="90" t="s">
        <v>11</v>
      </c>
      <c r="E2" s="90" t="s">
        <v>12</v>
      </c>
      <c r="F2" s="90" t="s">
        <v>13</v>
      </c>
      <c r="G2" s="90">
        <v>2</v>
      </c>
      <c r="H2" s="91">
        <v>55000</v>
      </c>
      <c r="I2" s="92" t="s">
        <v>14</v>
      </c>
      <c r="J2" s="93" t="s">
        <v>15</v>
      </c>
    </row>
    <row r="3" spans="1:10" ht="15" thickBot="1" x14ac:dyDescent="0.35">
      <c r="A3" s="94">
        <v>1004</v>
      </c>
      <c r="B3" s="95">
        <v>46236</v>
      </c>
      <c r="C3" s="35" t="s">
        <v>27</v>
      </c>
      <c r="D3" s="35" t="s">
        <v>11</v>
      </c>
      <c r="E3" s="35" t="s">
        <v>28</v>
      </c>
      <c r="F3" s="35" t="s">
        <v>24</v>
      </c>
      <c r="G3" s="35">
        <v>4</v>
      </c>
      <c r="H3" s="96">
        <v>800</v>
      </c>
      <c r="I3" s="35" t="s">
        <v>14</v>
      </c>
      <c r="J3" s="97" t="s">
        <v>15</v>
      </c>
    </row>
    <row r="4" spans="1:10" ht="15" thickBot="1" x14ac:dyDescent="0.35">
      <c r="A4" s="88">
        <v>1006</v>
      </c>
      <c r="B4" s="89">
        <v>46237</v>
      </c>
      <c r="C4" s="90" t="s">
        <v>32</v>
      </c>
      <c r="D4" s="90" t="s">
        <v>22</v>
      </c>
      <c r="E4" s="90" t="s">
        <v>33</v>
      </c>
      <c r="F4" s="90" t="s">
        <v>13</v>
      </c>
      <c r="G4" s="90">
        <v>2</v>
      </c>
      <c r="H4" s="91">
        <v>15000</v>
      </c>
      <c r="I4" s="90" t="s">
        <v>14</v>
      </c>
      <c r="J4" s="93" t="s">
        <v>20</v>
      </c>
    </row>
    <row r="5" spans="1:10" ht="15" thickBot="1" x14ac:dyDescent="0.35">
      <c r="A5" s="94">
        <v>1009</v>
      </c>
      <c r="B5" s="95">
        <v>46239</v>
      </c>
      <c r="C5" s="35" t="s">
        <v>37</v>
      </c>
      <c r="D5" s="35" t="s">
        <v>38</v>
      </c>
      <c r="E5" s="35" t="s">
        <v>78</v>
      </c>
      <c r="F5" s="35" t="s">
        <v>13</v>
      </c>
      <c r="G5" s="35">
        <v>2</v>
      </c>
      <c r="H5" s="96">
        <v>18000</v>
      </c>
      <c r="I5" s="35" t="s">
        <v>14</v>
      </c>
      <c r="J5" s="97" t="s">
        <v>16</v>
      </c>
    </row>
    <row r="6" spans="1:10" ht="15" thickBot="1" x14ac:dyDescent="0.35">
      <c r="A6" s="88">
        <v>1011</v>
      </c>
      <c r="B6" s="89">
        <v>46240</v>
      </c>
      <c r="C6" s="90" t="s">
        <v>40</v>
      </c>
      <c r="D6" s="90" t="s">
        <v>11</v>
      </c>
      <c r="E6" s="90" t="s">
        <v>28</v>
      </c>
      <c r="F6" s="90" t="s">
        <v>24</v>
      </c>
      <c r="G6" s="90">
        <v>6</v>
      </c>
      <c r="H6" s="91">
        <v>700</v>
      </c>
      <c r="I6" s="90" t="s">
        <v>14</v>
      </c>
      <c r="J6" s="93" t="s">
        <v>26</v>
      </c>
    </row>
    <row r="7" spans="1:10" ht="15" thickBot="1" x14ac:dyDescent="0.35">
      <c r="A7" s="94">
        <v>1013</v>
      </c>
      <c r="B7" s="95">
        <v>46241</v>
      </c>
      <c r="C7" s="35" t="s">
        <v>42</v>
      </c>
      <c r="D7" s="35" t="s">
        <v>17</v>
      </c>
      <c r="E7" s="35" t="s">
        <v>33</v>
      </c>
      <c r="F7" s="35" t="s">
        <v>13</v>
      </c>
      <c r="G7" s="35">
        <v>3</v>
      </c>
      <c r="H7" s="96">
        <v>13500</v>
      </c>
      <c r="I7" s="35" t="s">
        <v>14</v>
      </c>
      <c r="J7" s="97" t="s">
        <v>16</v>
      </c>
    </row>
    <row r="8" spans="1:10" ht="15" thickBot="1" x14ac:dyDescent="0.35">
      <c r="A8" s="88">
        <v>1016</v>
      </c>
      <c r="B8" s="89">
        <v>46242</v>
      </c>
      <c r="C8" s="90" t="s">
        <v>45</v>
      </c>
      <c r="D8" s="90" t="s">
        <v>87</v>
      </c>
      <c r="E8" s="90" t="s">
        <v>18</v>
      </c>
      <c r="F8" s="90" t="s">
        <v>13</v>
      </c>
      <c r="G8" s="90">
        <v>3</v>
      </c>
      <c r="H8" s="91">
        <v>25000</v>
      </c>
      <c r="I8" s="90" t="s">
        <v>14</v>
      </c>
      <c r="J8" s="93" t="s">
        <v>15</v>
      </c>
    </row>
    <row r="9" spans="1:10" ht="15" thickBot="1" x14ac:dyDescent="0.35">
      <c r="A9" s="94">
        <v>1019</v>
      </c>
      <c r="B9" s="95">
        <v>46244</v>
      </c>
      <c r="C9" s="35" t="s">
        <v>20</v>
      </c>
      <c r="D9" s="35" t="s">
        <v>38</v>
      </c>
      <c r="E9" s="35" t="s">
        <v>12</v>
      </c>
      <c r="F9" s="35" t="s">
        <v>13</v>
      </c>
      <c r="G9" s="35">
        <v>2</v>
      </c>
      <c r="H9" s="96">
        <v>60000</v>
      </c>
      <c r="I9" s="35" t="s">
        <v>14</v>
      </c>
      <c r="J9" s="97" t="s">
        <v>26</v>
      </c>
    </row>
    <row r="10" spans="1:10" ht="15" thickBot="1" x14ac:dyDescent="0.35">
      <c r="A10" s="88">
        <v>1021</v>
      </c>
      <c r="B10" s="89">
        <v>46245</v>
      </c>
      <c r="C10" s="90" t="s">
        <v>49</v>
      </c>
      <c r="D10" s="90" t="s">
        <v>11</v>
      </c>
      <c r="E10" s="90" t="s">
        <v>36</v>
      </c>
      <c r="F10" s="90" t="s">
        <v>13</v>
      </c>
      <c r="G10" s="90">
        <v>2</v>
      </c>
      <c r="H10" s="91">
        <v>9000</v>
      </c>
      <c r="I10" s="90" t="s">
        <v>14</v>
      </c>
      <c r="J10" s="93" t="s">
        <v>16</v>
      </c>
    </row>
    <row r="11" spans="1:10" ht="15" thickBot="1" x14ac:dyDescent="0.35">
      <c r="A11" s="94">
        <v>1024</v>
      </c>
      <c r="B11" s="95">
        <v>46246</v>
      </c>
      <c r="C11" s="35" t="s">
        <v>52</v>
      </c>
      <c r="D11" s="35" t="s">
        <v>38</v>
      </c>
      <c r="E11" s="35" t="s">
        <v>23</v>
      </c>
      <c r="F11" s="35" t="s">
        <v>24</v>
      </c>
      <c r="G11" s="35">
        <v>4</v>
      </c>
      <c r="H11" s="96">
        <v>1400</v>
      </c>
      <c r="I11" s="35" t="s">
        <v>14</v>
      </c>
      <c r="J11" s="97" t="s">
        <v>15</v>
      </c>
    </row>
    <row r="12" spans="1:10" ht="15" thickBot="1" x14ac:dyDescent="0.35">
      <c r="A12" s="88">
        <v>1027</v>
      </c>
      <c r="B12" s="89">
        <v>46248</v>
      </c>
      <c r="C12" s="90" t="s">
        <v>55</v>
      </c>
      <c r="D12" s="90" t="s">
        <v>22</v>
      </c>
      <c r="E12" s="90" t="s">
        <v>33</v>
      </c>
      <c r="F12" s="90" t="s">
        <v>13</v>
      </c>
      <c r="G12" s="90">
        <v>2</v>
      </c>
      <c r="H12" s="91">
        <v>14500</v>
      </c>
      <c r="I12" s="90" t="s">
        <v>14</v>
      </c>
      <c r="J12" s="93" t="s">
        <v>26</v>
      </c>
    </row>
    <row r="13" spans="1:10" ht="15" thickBot="1" x14ac:dyDescent="0.35">
      <c r="A13" s="94">
        <v>1030</v>
      </c>
      <c r="B13" s="95">
        <v>46249</v>
      </c>
      <c r="C13" s="35" t="s">
        <v>58</v>
      </c>
      <c r="D13" s="35" t="s">
        <v>30</v>
      </c>
      <c r="E13" s="35" t="s">
        <v>31</v>
      </c>
      <c r="F13" s="35" t="s">
        <v>24</v>
      </c>
      <c r="G13" s="35">
        <v>2</v>
      </c>
      <c r="H13" s="96">
        <v>3000</v>
      </c>
      <c r="I13" s="35" t="s">
        <v>14</v>
      </c>
      <c r="J13" s="97" t="s">
        <v>20</v>
      </c>
    </row>
    <row r="14" spans="1:10" ht="15" thickBot="1" x14ac:dyDescent="0.35">
      <c r="A14" s="88">
        <v>1032</v>
      </c>
      <c r="B14" s="89">
        <v>46250</v>
      </c>
      <c r="C14" s="90" t="s">
        <v>60</v>
      </c>
      <c r="D14" s="90" t="s">
        <v>22</v>
      </c>
      <c r="E14" s="90" t="s">
        <v>28</v>
      </c>
      <c r="F14" s="90" t="s">
        <v>24</v>
      </c>
      <c r="G14" s="90">
        <v>4</v>
      </c>
      <c r="H14" s="91">
        <v>900</v>
      </c>
      <c r="I14" s="90" t="s">
        <v>14</v>
      </c>
      <c r="J14" s="93" t="s">
        <v>15</v>
      </c>
    </row>
    <row r="15" spans="1:10" ht="15" thickBot="1" x14ac:dyDescent="0.35">
      <c r="A15" s="94">
        <v>1035</v>
      </c>
      <c r="B15" s="95">
        <v>46252</v>
      </c>
      <c r="C15" s="35" t="s">
        <v>63</v>
      </c>
      <c r="D15" s="35" t="s">
        <v>30</v>
      </c>
      <c r="E15" s="35" t="s">
        <v>36</v>
      </c>
      <c r="F15" s="35" t="s">
        <v>13</v>
      </c>
      <c r="G15" s="35">
        <v>2</v>
      </c>
      <c r="H15" s="96">
        <v>10000</v>
      </c>
      <c r="I15" s="35" t="s">
        <v>14</v>
      </c>
      <c r="J15" s="97" t="s">
        <v>26</v>
      </c>
    </row>
    <row r="16" spans="1:10" ht="15" thickBot="1" x14ac:dyDescent="0.35">
      <c r="A16" s="88">
        <v>1037</v>
      </c>
      <c r="B16" s="89">
        <v>46253</v>
      </c>
      <c r="C16" s="90" t="s">
        <v>65</v>
      </c>
      <c r="D16" s="90" t="s">
        <v>22</v>
      </c>
      <c r="E16" s="90" t="s">
        <v>23</v>
      </c>
      <c r="F16" s="90" t="s">
        <v>24</v>
      </c>
      <c r="G16" s="90">
        <v>3</v>
      </c>
      <c r="H16" s="91">
        <v>1600</v>
      </c>
      <c r="I16" s="90" t="s">
        <v>14</v>
      </c>
      <c r="J16" s="93" t="s">
        <v>16</v>
      </c>
    </row>
    <row r="17" spans="1:10" ht="15" thickBot="1" x14ac:dyDescent="0.35">
      <c r="A17" s="94">
        <v>1040</v>
      </c>
      <c r="B17" s="95">
        <v>46254</v>
      </c>
      <c r="C17" s="35" t="s">
        <v>68</v>
      </c>
      <c r="D17" s="35" t="s">
        <v>30</v>
      </c>
      <c r="E17" s="35" t="s">
        <v>33</v>
      </c>
      <c r="F17" s="35" t="s">
        <v>13</v>
      </c>
      <c r="G17" s="35">
        <v>2</v>
      </c>
      <c r="H17" s="96">
        <v>12500</v>
      </c>
      <c r="I17" s="35" t="s">
        <v>14</v>
      </c>
      <c r="J17" s="97" t="s">
        <v>15</v>
      </c>
    </row>
    <row r="18" spans="1:10" ht="15" thickBot="1" x14ac:dyDescent="0.35">
      <c r="A18" s="88">
        <v>1043</v>
      </c>
      <c r="B18" s="89">
        <v>46256</v>
      </c>
      <c r="C18" s="90" t="s">
        <v>70</v>
      </c>
      <c r="D18" s="90" t="s">
        <v>17</v>
      </c>
      <c r="E18" s="90" t="s">
        <v>18</v>
      </c>
      <c r="F18" s="90" t="s">
        <v>13</v>
      </c>
      <c r="G18" s="90">
        <v>2</v>
      </c>
      <c r="H18" s="91">
        <v>26000</v>
      </c>
      <c r="I18" s="90" t="s">
        <v>14</v>
      </c>
      <c r="J18" s="93" t="s">
        <v>26</v>
      </c>
    </row>
    <row r="19" spans="1:10" ht="15" thickBot="1" x14ac:dyDescent="0.35">
      <c r="A19" s="94">
        <v>1045</v>
      </c>
      <c r="B19" s="95">
        <v>46257</v>
      </c>
      <c r="C19" s="35" t="s">
        <v>72</v>
      </c>
      <c r="D19" s="35" t="s">
        <v>30</v>
      </c>
      <c r="E19" s="35" t="s">
        <v>28</v>
      </c>
      <c r="F19" s="35" t="s">
        <v>24</v>
      </c>
      <c r="G19" s="35">
        <v>3</v>
      </c>
      <c r="H19" s="96">
        <v>950</v>
      </c>
      <c r="I19" s="35" t="s">
        <v>14</v>
      </c>
      <c r="J19" s="97" t="s">
        <v>16</v>
      </c>
    </row>
    <row r="20" spans="1:10" ht="15" thickBot="1" x14ac:dyDescent="0.35">
      <c r="A20" s="98">
        <v>1048</v>
      </c>
      <c r="B20" s="99">
        <v>46258</v>
      </c>
      <c r="C20" s="100" t="s">
        <v>75</v>
      </c>
      <c r="D20" s="100" t="s">
        <v>17</v>
      </c>
      <c r="E20" s="100" t="s">
        <v>36</v>
      </c>
      <c r="F20" s="100" t="s">
        <v>13</v>
      </c>
      <c r="G20" s="100">
        <v>2</v>
      </c>
      <c r="H20" s="101">
        <v>9200</v>
      </c>
      <c r="I20" s="100" t="s">
        <v>14</v>
      </c>
      <c r="J20" s="102" t="s">
        <v>15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17CE3-851C-4F97-A034-AF55768C6C8A}">
  <dimension ref="A1"/>
  <sheetViews>
    <sheetView workbookViewId="0">
      <selection activeCell="H16" sqref="H16"/>
    </sheetView>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CA9BFA-FAF5-4596-A6C1-4D8BCC6DF7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Data Entry And Basic Formatting</vt:lpstr>
      <vt:lpstr>Basic Formula</vt:lpstr>
      <vt:lpstr>Conditional Formatting</vt:lpstr>
      <vt:lpstr>Sorting </vt:lpstr>
      <vt:lpstr>Filter</vt:lpstr>
      <vt:lpstr>Table Creation</vt:lpstr>
      <vt:lpstr>Logical formula</vt:lpstr>
      <vt:lpstr>Lookup , VLookup , Index</vt:lpstr>
      <vt:lpstr>XLOOKUP</vt:lpstr>
      <vt:lpstr>Advanced Filter</vt:lpstr>
      <vt:lpstr>Pw</vt:lpstr>
      <vt:lpstr>Sheet2</vt:lpstr>
      <vt:lpstr>Sheet1</vt:lpstr>
      <vt:lpstr>Financial Formula</vt:lpstr>
      <vt:lpstr>'Advanced Filter'!Criteria</vt:lpstr>
      <vt:lpstr>'Advanced Filter'!Extract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Satvik Mishra</dc:creator>
  <cp:lastModifiedBy>Satvik Mishra</cp:lastModifiedBy>
  <cp:lastPrinted>2026-08-24T07:37:37Z</cp:lastPrinted>
  <dcterms:created xsi:type="dcterms:W3CDTF">2026-08-19T07:46:09Z</dcterms:created>
  <dcterms:modified xsi:type="dcterms:W3CDTF">2026-08-25T15:41:36Z</dcterms:modified>
</cp:coreProperties>
</file>