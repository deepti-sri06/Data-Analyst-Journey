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Data-Analyst-Journey\"/>
    </mc:Choice>
  </mc:AlternateContent>
  <xr:revisionPtr revIDLastSave="0" documentId="13_ncr:1_{C2D9624A-D7A4-4945-9469-3973797D7922}" xr6:coauthVersionLast="47" xr6:coauthVersionMax="47" xr10:uidLastSave="{00000000-0000-0000-0000-000000000000}"/>
  <bookViews>
    <workbookView xWindow="-108" yWindow="-108" windowWidth="23256" windowHeight="12456" firstSheet="3" activeTab="6" xr2:uid="{9812301C-C18C-46F2-AD5A-E6FD016C11F9}"/>
  </bookViews>
  <sheets>
    <sheet name="Data Entry And Basic Formatting" sheetId="1" r:id="rId1"/>
    <sheet name="Basic Formula" sheetId="3" r:id="rId2"/>
    <sheet name="Conditional Formatting" sheetId="2" r:id="rId3"/>
    <sheet name="Sorting " sheetId="4" r:id="rId4"/>
    <sheet name="Filter" sheetId="5" r:id="rId5"/>
    <sheet name="Table Creation" sheetId="6" r:id="rId6"/>
    <sheet name="Logical formula" sheetId="7" r:id="rId7"/>
    <sheet name="Lookup , VLookup , Index" sheetId="8" r:id="rId8"/>
  </sheets>
  <definedNames>
    <definedName name="_xlnm._FilterDatabase" localSheetId="4" hidden="1">Filter!$A$2:$J$52</definedName>
    <definedName name="_xlnm._FilterDatabase" localSheetId="6" hidden="1">'Logical formula'!$K$3:$K$53</definedName>
    <definedName name="Slicer_Category">#N/A</definedName>
    <definedName name="Slicer_PaymentMode">#N/A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8" i="8" l="1"/>
  <c r="I9" i="8"/>
  <c r="I10" i="8"/>
  <c r="I11" i="8"/>
  <c r="I7" i="8"/>
  <c r="E4" i="8"/>
  <c r="E5" i="8"/>
  <c r="E6" i="8"/>
  <c r="E7" i="8"/>
  <c r="E8" i="8"/>
  <c r="E9" i="8"/>
  <c r="E10" i="8"/>
  <c r="E11" i="8"/>
  <c r="E12" i="8"/>
  <c r="E13" i="8"/>
  <c r="E14" i="8"/>
  <c r="E3" i="8"/>
  <c r="D4" i="8"/>
  <c r="D5" i="8"/>
  <c r="D6" i="8"/>
  <c r="D7" i="8"/>
  <c r="D8" i="8"/>
  <c r="D9" i="8"/>
  <c r="D10" i="8"/>
  <c r="D11" i="8"/>
  <c r="D12" i="8"/>
  <c r="D13" i="8"/>
  <c r="D14" i="8"/>
  <c r="D3" i="8"/>
  <c r="K4" i="7"/>
  <c r="P6" i="7" s="1"/>
  <c r="K5" i="7"/>
  <c r="K6" i="7"/>
  <c r="L6" i="7" s="1" a="1"/>
  <c r="L6" i="7" s="1"/>
  <c r="K7" i="7"/>
  <c r="L7" i="7" s="1" a="1"/>
  <c r="L7" i="7" s="1"/>
  <c r="K8" i="7"/>
  <c r="L8" i="7" s="1" a="1"/>
  <c r="L8" i="7" s="1"/>
  <c r="K9" i="7"/>
  <c r="K10" i="7"/>
  <c r="L10" i="7" s="1" a="1"/>
  <c r="L10" i="7" s="1"/>
  <c r="K11" i="7"/>
  <c r="L11" i="7" s="1" a="1"/>
  <c r="L11" i="7" s="1"/>
  <c r="K12" i="7"/>
  <c r="K13" i="7"/>
  <c r="L13" i="7" s="1" a="1"/>
  <c r="L13" i="7" s="1"/>
  <c r="K14" i="7"/>
  <c r="O14" i="7" s="1"/>
  <c r="K15" i="7"/>
  <c r="O15" i="7" s="1"/>
  <c r="K16" i="7"/>
  <c r="O16" i="7" s="1"/>
  <c r="K17" i="7"/>
  <c r="P17" i="7" s="1"/>
  <c r="K18" i="7"/>
  <c r="L18" i="7" s="1" a="1"/>
  <c r="L18" i="7" s="1"/>
  <c r="K19" i="7"/>
  <c r="L19" i="7" s="1" a="1"/>
  <c r="L19" i="7" s="1"/>
  <c r="K20" i="7"/>
  <c r="P19" i="7" s="1"/>
  <c r="K21" i="7"/>
  <c r="L21" i="7" s="1" a="1"/>
  <c r="L21" i="7" s="1"/>
  <c r="K22" i="7"/>
  <c r="L22" i="7" s="1" a="1"/>
  <c r="L22" i="7" s="1"/>
  <c r="K23" i="7"/>
  <c r="L23" i="7" s="1" a="1"/>
  <c r="L23" i="7" s="1"/>
  <c r="K24" i="7"/>
  <c r="L24" i="7" s="1" a="1"/>
  <c r="L24" i="7" s="1"/>
  <c r="K25" i="7"/>
  <c r="L25" i="7" s="1" a="1"/>
  <c r="L25" i="7" s="1"/>
  <c r="K26" i="7"/>
  <c r="L26" i="7" s="1" a="1"/>
  <c r="L26" i="7" s="1"/>
  <c r="K27" i="7"/>
  <c r="L27" i="7" s="1" a="1"/>
  <c r="L27" i="7" s="1"/>
  <c r="K28" i="7"/>
  <c r="P24" i="7" s="1"/>
  <c r="K29" i="7"/>
  <c r="O25" i="7" s="1"/>
  <c r="K30" i="7"/>
  <c r="O26" i="7" s="1"/>
  <c r="K31" i="7"/>
  <c r="O27" i="7" s="1"/>
  <c r="K32" i="7"/>
  <c r="L32" i="7" s="1" a="1"/>
  <c r="L32" i="7" s="1"/>
  <c r="K33" i="7"/>
  <c r="P29" i="7" s="1"/>
  <c r="K34" i="7"/>
  <c r="P30" i="7" s="1"/>
  <c r="K35" i="7"/>
  <c r="L35" i="7" s="1" a="1"/>
  <c r="L35" i="7" s="1"/>
  <c r="K36" i="7"/>
  <c r="L36" i="7" s="1" a="1"/>
  <c r="L36" i="7" s="1"/>
  <c r="K37" i="7"/>
  <c r="P32" i="7" s="1"/>
  <c r="K38" i="7"/>
  <c r="L38" i="7" s="1" a="1"/>
  <c r="L38" i="7" s="1"/>
  <c r="K39" i="7"/>
  <c r="L39" i="7" s="1" a="1"/>
  <c r="L39" i="7" s="1"/>
  <c r="K40" i="7"/>
  <c r="L40" i="7" s="1" a="1"/>
  <c r="L40" i="7" s="1"/>
  <c r="K41" i="7"/>
  <c r="L41" i="7" s="1" a="1"/>
  <c r="L41" i="7" s="1"/>
  <c r="K42" i="7"/>
  <c r="L42" i="7" s="1" a="1"/>
  <c r="L42" i="7" s="1"/>
  <c r="K43" i="7"/>
  <c r="L43" i="7" s="1" a="1"/>
  <c r="L43" i="7" s="1"/>
  <c r="K44" i="7"/>
  <c r="P36" i="7" s="1"/>
  <c r="K45" i="7"/>
  <c r="L45" i="7" s="1" a="1"/>
  <c r="L45" i="7" s="1"/>
  <c r="K46" i="7"/>
  <c r="O38" i="7" s="1"/>
  <c r="K47" i="7"/>
  <c r="P39" i="7" s="1"/>
  <c r="K48" i="7"/>
  <c r="L48" i="7" s="1" a="1"/>
  <c r="L48" i="7" s="1"/>
  <c r="K49" i="7"/>
  <c r="P40" i="7" s="1"/>
  <c r="K50" i="7"/>
  <c r="P41" i="7" s="1"/>
  <c r="K51" i="7"/>
  <c r="P42" i="7" s="1"/>
  <c r="K52" i="7"/>
  <c r="L52" i="7" s="1" a="1"/>
  <c r="L52" i="7" s="1"/>
  <c r="K3" i="7"/>
  <c r="L3" i="7" s="1" a="1"/>
  <c r="L3" i="7" s="1"/>
  <c r="K51" i="6"/>
  <c r="K50" i="6"/>
  <c r="K49" i="6"/>
  <c r="K45" i="6"/>
  <c r="K43" i="6"/>
  <c r="K42" i="6"/>
  <c r="K41" i="6"/>
  <c r="K38" i="6"/>
  <c r="K37" i="6"/>
  <c r="K35" i="6"/>
  <c r="K30" i="6"/>
  <c r="K29" i="6"/>
  <c r="K28" i="6"/>
  <c r="K25" i="6"/>
  <c r="K23" i="6"/>
  <c r="K22" i="6"/>
  <c r="K21" i="6"/>
  <c r="K18" i="6"/>
  <c r="K17" i="6"/>
  <c r="K15" i="6"/>
  <c r="K14" i="6"/>
  <c r="K11" i="6"/>
  <c r="K9" i="6"/>
  <c r="K8" i="6"/>
  <c r="K4" i="6"/>
  <c r="K3" i="6"/>
  <c r="N7" i="3"/>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2" i="3"/>
  <c r="O22" i="7" l="1"/>
  <c r="P34" i="7"/>
  <c r="O40" i="7"/>
  <c r="O37" i="7"/>
  <c r="O10" i="7"/>
  <c r="P7" i="7"/>
  <c r="O36" i="7"/>
  <c r="O24" i="7"/>
  <c r="L28" i="7" a="1"/>
  <c r="L28" i="7" s="1"/>
  <c r="O13" i="7"/>
  <c r="O23" i="7"/>
  <c r="P28" i="7"/>
  <c r="K53" i="7"/>
  <c r="L53" i="7" s="1" a="1"/>
  <c r="L53" i="7" s="1"/>
  <c r="L4" i="7" a="1"/>
  <c r="L4" i="7" s="1"/>
  <c r="P27" i="7"/>
  <c r="O43" i="7"/>
  <c r="L37" i="7" a="1"/>
  <c r="L37" i="7" s="1"/>
  <c r="O9" i="7"/>
  <c r="L31" i="7" a="1"/>
  <c r="L31" i="7" s="1"/>
  <c r="O35" i="7"/>
  <c r="O8" i="7"/>
  <c r="P22" i="7"/>
  <c r="L49" i="7" a="1"/>
  <c r="L49" i="7" s="1"/>
  <c r="L15" i="7" a="1"/>
  <c r="L15" i="7" s="1"/>
  <c r="O34" i="7"/>
  <c r="O6" i="7"/>
  <c r="P16" i="7"/>
  <c r="O42" i="7"/>
  <c r="P25" i="7"/>
  <c r="L17" i="7" a="1"/>
  <c r="L17" i="7" s="1"/>
  <c r="L16" i="7" a="1"/>
  <c r="L16" i="7" s="1"/>
  <c r="P15" i="7"/>
  <c r="L51" i="7" a="1"/>
  <c r="L51" i="7" s="1"/>
  <c r="O7" i="7"/>
  <c r="L50" i="7" a="1"/>
  <c r="L50" i="7" s="1"/>
  <c r="P23" i="7"/>
  <c r="P11" i="7"/>
  <c r="L30" i="7" a="1"/>
  <c r="L30" i="7" s="1"/>
  <c r="O33" i="7"/>
  <c r="P43" i="7"/>
  <c r="L44" i="7" a="1"/>
  <c r="L44" i="7" s="1"/>
  <c r="L5" i="7" a="1"/>
  <c r="L5" i="7" s="1"/>
  <c r="O32" i="7"/>
  <c r="P14" i="7"/>
  <c r="P26" i="7"/>
  <c r="L29" i="7" a="1"/>
  <c r="L29" i="7" s="1"/>
  <c r="P35" i="7"/>
  <c r="P13" i="7"/>
  <c r="O11" i="7"/>
  <c r="P37" i="7"/>
  <c r="O5" i="7"/>
  <c r="O20" i="7"/>
  <c r="O31" i="7"/>
  <c r="O18" i="7"/>
  <c r="P33" i="7"/>
  <c r="P21" i="7"/>
  <c r="P9" i="7"/>
  <c r="L47" i="7" a="1"/>
  <c r="L47" i="7" s="1"/>
  <c r="L14" i="7" a="1"/>
  <c r="L14" i="7" s="1"/>
  <c r="O41" i="7"/>
  <c r="O29" i="7"/>
  <c r="O17" i="7"/>
  <c r="P5" i="7"/>
  <c r="P20" i="7"/>
  <c r="P8" i="7"/>
  <c r="L12" i="7" a="1"/>
  <c r="L12" i="7" s="1"/>
  <c r="O12" i="7"/>
  <c r="P38" i="7"/>
  <c r="O21" i="7"/>
  <c r="P12" i="7"/>
  <c r="L9" i="7" a="1"/>
  <c r="L9" i="7" s="1"/>
  <c r="O19" i="7"/>
  <c r="P10" i="7"/>
  <c r="L34" i="7" a="1"/>
  <c r="L34" i="7" s="1"/>
  <c r="O30" i="7"/>
  <c r="L33" i="7" a="1"/>
  <c r="L33" i="7" s="1"/>
  <c r="L20" i="7" a="1"/>
  <c r="L20" i="7" s="1"/>
  <c r="O28" i="7"/>
  <c r="P31" i="7"/>
  <c r="O39" i="7"/>
  <c r="P18" i="7"/>
  <c r="L46" i="7" a="1"/>
  <c r="L46" i="7" s="1"/>
  <c r="N6" i="3"/>
  <c r="N4" i="3"/>
  <c r="N5" i="3"/>
  <c r="O44" i="7"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<sst xmlns="http://schemas.openxmlformats.org/spreadsheetml/2006/main" count="2238" uniqueCount="100">
  <si>
    <t>OrderID</t>
  </si>
  <si>
    <t>Date</t>
  </si>
  <si>
    <t>Customer</t>
  </si>
  <si>
    <t>City</t>
  </si>
  <si>
    <t>Product</t>
  </si>
  <si>
    <t>Category</t>
  </si>
  <si>
    <t>Quantity</t>
  </si>
  <si>
    <t>UnitPrice</t>
  </si>
  <si>
    <t>PaymentMode</t>
  </si>
  <si>
    <t>Salesperson</t>
  </si>
  <si>
    <t>Rahul</t>
  </si>
  <si>
    <t>Lucknow</t>
  </si>
  <si>
    <t>Laptop</t>
  </si>
  <si>
    <t>Electronics</t>
  </si>
  <si>
    <t>UPI</t>
  </si>
  <si>
    <t>Amit</t>
  </si>
  <si>
    <t>Priya</t>
  </si>
  <si>
    <t>Kanpur</t>
  </si>
  <si>
    <t>Smartphone</t>
  </si>
  <si>
    <t>Card</t>
  </si>
  <si>
    <t>Neha</t>
  </si>
  <si>
    <t>Ankit</t>
  </si>
  <si>
    <t>Delhi</t>
  </si>
  <si>
    <t>Keyboard</t>
  </si>
  <si>
    <t>Accessories</t>
  </si>
  <si>
    <t>Cash</t>
  </si>
  <si>
    <t>Rohit</t>
  </si>
  <si>
    <t>Sneha</t>
  </si>
  <si>
    <t>Mouse</t>
  </si>
  <si>
    <t>Vivek</t>
  </si>
  <si>
    <t>Jaipur</t>
  </si>
  <si>
    <t>Headphones</t>
  </si>
  <si>
    <t>Pooja</t>
  </si>
  <si>
    <t>Monitor</t>
  </si>
  <si>
    <t>Arjun</t>
  </si>
  <si>
    <t>Kavita</t>
  </si>
  <si>
    <t>Printer</t>
  </si>
  <si>
    <t>Riya</t>
  </si>
  <si>
    <t>Agra</t>
  </si>
  <si>
    <t>Mohit</t>
  </si>
  <si>
    <t>Nisha</t>
  </si>
  <si>
    <t>Karan</t>
  </si>
  <si>
    <t>Simran</t>
  </si>
  <si>
    <t>Aditya</t>
  </si>
  <si>
    <t>Meena</t>
  </si>
  <si>
    <t>Aman</t>
  </si>
  <si>
    <t>Shreya</t>
  </si>
  <si>
    <t>Saurabh</t>
  </si>
  <si>
    <t>Raj</t>
  </si>
  <si>
    <t>Tanya</t>
  </si>
  <si>
    <t>Deepak</t>
  </si>
  <si>
    <t>Aarti</t>
  </si>
  <si>
    <t>Manish</t>
  </si>
  <si>
    <t>Jyoti</t>
  </si>
  <si>
    <t>Rakesh</t>
  </si>
  <si>
    <t>Pankaj</t>
  </si>
  <si>
    <t>Komal</t>
  </si>
  <si>
    <t>Varun</t>
  </si>
  <si>
    <t>Anjali</t>
  </si>
  <si>
    <t>Harish</t>
  </si>
  <si>
    <t>Preeti</t>
  </si>
  <si>
    <t>Naveen</t>
  </si>
  <si>
    <t>Sakshi</t>
  </si>
  <si>
    <t>Yash</t>
  </si>
  <si>
    <t>Isha</t>
  </si>
  <si>
    <t>Sameer</t>
  </si>
  <si>
    <t>Divya</t>
  </si>
  <si>
    <t>Ashish</t>
  </si>
  <si>
    <t>Priti</t>
  </si>
  <si>
    <t>Monika</t>
  </si>
  <si>
    <t>Tarun</t>
  </si>
  <si>
    <t>Ritu</t>
  </si>
  <si>
    <t>Gaurav</t>
  </si>
  <si>
    <t>Shalini</t>
  </si>
  <si>
    <t>Vikas</t>
  </si>
  <si>
    <t>Payal</t>
  </si>
  <si>
    <t>Nitin</t>
  </si>
  <si>
    <t>Sonam</t>
  </si>
  <si>
    <t>headphones</t>
  </si>
  <si>
    <t xml:space="preserve">Max Sales </t>
  </si>
  <si>
    <t xml:space="preserve">Min Sales </t>
  </si>
  <si>
    <t>Avg Sales</t>
  </si>
  <si>
    <t>Sales</t>
  </si>
  <si>
    <r>
      <rPr>
        <b/>
        <sz val="11"/>
        <color theme="8" tint="-0.499984740745262"/>
        <rFont val="Calibri"/>
        <family val="2"/>
        <scheme val="minor"/>
      </rPr>
      <t>Total Sales</t>
    </r>
    <r>
      <rPr>
        <b/>
        <sz val="11"/>
        <color theme="9" tint="-0.249977111117893"/>
        <rFont val="Calibri"/>
        <family val="2"/>
        <scheme val="minor"/>
      </rPr>
      <t xml:space="preserve"> </t>
    </r>
  </si>
  <si>
    <t>Soting By Name (From A to Z)</t>
  </si>
  <si>
    <t>Soting By Name (From  Z to A)</t>
  </si>
  <si>
    <t xml:space="preserve">Multi -Level Sorting </t>
  </si>
  <si>
    <t>agra</t>
  </si>
  <si>
    <t>Filter by Category</t>
  </si>
  <si>
    <t xml:space="preserve">Table  Creation </t>
  </si>
  <si>
    <t>Total Sal</t>
  </si>
  <si>
    <t>IFS</t>
  </si>
  <si>
    <t>Naha</t>
  </si>
  <si>
    <t xml:space="preserve">Total Sale </t>
  </si>
  <si>
    <t xml:space="preserve">Avg Sale </t>
  </si>
  <si>
    <t>Logical Formula ( IF , IFS , SumIF,AverageIF)</t>
  </si>
  <si>
    <t>SumIF, AverageIF</t>
  </si>
  <si>
    <t>VLOOKUP</t>
  </si>
  <si>
    <t>INDEX AND MATCH</t>
  </si>
  <si>
    <t>Customer Name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</si>
</sst>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quot;₹&quot;\ #,##0.00"/>
  </numFmts>
  <fonts count="13" x14ac:knownFonts="1">
    <font>
      <sz val="11"/>
      <color theme="1"/>
      <name val="Calibri"/>
      <family val="2"/>
      <scheme val="minor"/>
    </font>
    <font>
      <b/>
      <sz val="11"/>
      <color theme="1"/>
      <name val="Calibri"/>
      <family val="2"/>
      <scheme val="minor"/>
    </font>
    <font>
      <b/>
      <sz val="11"/>
      <color theme="9" tint="0.79998168889431442"/>
      <name val="Calibri"/>
      <family val="2"/>
      <scheme val="minor"/>
    </font>
    <font>
      <b/>
      <sz val="11"/>
      <color theme="9" tint="-0.249977111117893"/>
      <name val="Calibri"/>
      <family val="2"/>
      <scheme val="minor"/>
    </font>
    <font>
      <b/>
      <sz val="11"/>
      <color theme="8" tint="-0.499984740745262"/>
      <name val="Calibri"/>
      <family val="2"/>
      <scheme val="minor"/>
    </font>
    <font>
      <b/>
      <sz val="14"/>
      <color theme="1"/>
      <name val="Calibri"/>
      <family val="2"/>
      <scheme val="minor"/>
    </font>
    <font>
      <sz val="14"/>
      <color theme="1"/>
      <name val="Calibri"/>
      <family val="2"/>
      <scheme val="minor"/>
    </font>
    <font>
      <sz val="11"/>
      <color theme="1"/>
      <name val="Calibri"/>
      <family val="2"/>
      <scheme val="minor"/>
    </font>
    <font>
      <b/>
      <sz val="11"/>
      <color theme="9" tint="-0.499984740745262"/>
      <name val="Calibri"/>
      <family val="2"/>
      <scheme val="minor"/>
    </font>
    <font>
      <b/>
      <sz val="14"/>
      <color theme="9" tint="-0.499984740745262"/>
      <name val="Calibri"/>
      <family val="2"/>
      <scheme val="minor"/>
    </font>
    <font>
      <sz val="11"/>
      <color theme="5" tint="0.79998168889431442"/>
      <name val="Calibri"/>
      <family val="2"/>
      <scheme val="minor"/>
    </font>
    <font>
      <b/>
      <sz val="14"/>
      <color theme="5" tint="0.79998168889431442"/>
      <name val="Calibri"/>
      <family val="2"/>
      <scheme val="minor"/>
    </font>
    <font>
      <sz val="11"/>
      <color theme="9" tint="-0.499984740745262"/>
      <name val="Calibri"/>
      <family val="2"/>
      <scheme val="minor"/>
    </font>
  </fonts>
  <fills count="9">
    <fill>
      <patternFill patternType="none"/>
    </fill>
    <fill>
      <patternFill patternType="gray125"/>
    </fill>
    <fill>
      <patternFill patternType="solid">
        <fgColor theme="9" tint="-0.249977111117893"/>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2" tint="-0.749992370372631"/>
        <bgColor indexed="64"/>
      </patternFill>
    </fill>
  </fills>
  <borders count="29">
    <border>
      <left/>
      <right/>
      <top/>
      <bottom/>
      <diagonal/>
    </border>
    <border>
      <left style="thick">
        <color auto="1"/>
      </left>
      <right style="medium">
        <color auto="1"/>
      </right>
      <top style="thick">
        <color auto="1"/>
      </top>
      <bottom style="medium">
        <color auto="1"/>
      </bottom>
      <diagonal/>
    </border>
    <border>
      <left style="medium">
        <color auto="1"/>
      </left>
      <right style="medium">
        <color auto="1"/>
      </right>
      <top style="thick">
        <color auto="1"/>
      </top>
      <bottom style="medium">
        <color auto="1"/>
      </bottom>
      <diagonal/>
    </border>
    <border>
      <left style="medium">
        <color auto="1"/>
      </left>
      <right style="thick">
        <color auto="1"/>
      </right>
      <top style="thick">
        <color auto="1"/>
      </top>
      <bottom style="medium">
        <color auto="1"/>
      </bottom>
      <diagonal/>
    </border>
    <border>
      <left style="thick">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thick">
        <color auto="1"/>
      </right>
      <top style="medium">
        <color auto="1"/>
      </top>
      <bottom style="medium">
        <color auto="1"/>
      </bottom>
      <diagonal/>
    </border>
    <border>
      <left style="thick">
        <color auto="1"/>
      </left>
      <right style="medium">
        <color auto="1"/>
      </right>
      <top style="medium">
        <color auto="1"/>
      </top>
      <bottom style="thick">
        <color auto="1"/>
      </bottom>
      <diagonal/>
    </border>
    <border>
      <left style="medium">
        <color auto="1"/>
      </left>
      <right style="medium">
        <color auto="1"/>
      </right>
      <top style="medium">
        <color auto="1"/>
      </top>
      <bottom style="thick">
        <color auto="1"/>
      </bottom>
      <diagonal/>
    </border>
    <border>
      <left style="medium">
        <color auto="1"/>
      </left>
      <right style="thick">
        <color auto="1"/>
      </right>
      <top style="medium">
        <color auto="1"/>
      </top>
      <bottom style="thick">
        <color auto="1"/>
      </bottom>
      <diagonal/>
    </border>
    <border>
      <left/>
      <right/>
      <top/>
      <bottom style="thick">
        <color auto="1"/>
      </bottom>
      <diagonal/>
    </border>
    <border>
      <left style="medium">
        <color auto="1"/>
      </left>
      <right style="medium">
        <color auto="1"/>
      </right>
      <top style="medium">
        <color auto="1"/>
      </top>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diagonal/>
    </border>
    <border>
      <left style="medium">
        <color auto="1"/>
      </left>
      <right/>
      <top style="medium">
        <color auto="1"/>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s>
  <cellStyleXfs count="2">
    <xf numFmtId="0" fontId="0" fillId="0" borderId="0"/>
    <xf numFmtId="43" fontId="7" fillId="0" borderId="0" applyFont="0" applyFill="0" applyBorder="0" applyAlignment="0" applyProtection="0"/>
  </cellStyleXfs>
  <cellXfs count="87">
    <xf numFmtId="0" fontId="0" fillId="0" borderId="0" xfId="0"/>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5" xfId="0" applyBorder="1" applyAlignment="1">
      <alignment horizontal="center" vertical="center" wrapText="1"/>
    </xf>
    <xf numFmtId="0" fontId="2" fillId="2" borderId="1" xfId="0" applyFont="1" applyFill="1" applyBorder="1" applyAlignment="1">
      <alignment horizontal="center" vertical="center" wrapText="1"/>
    </xf>
    <xf numFmtId="0" fontId="0" fillId="0" borderId="4" xfId="0" applyBorder="1" applyAlignment="1">
      <alignment horizontal="center" vertical="center" wrapText="1"/>
    </xf>
    <xf numFmtId="14" fontId="0" fillId="0" borderId="5" xfId="0" applyNumberFormat="1"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14" fontId="0" fillId="0" borderId="8" xfId="0" applyNumberFormat="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164" fontId="2" fillId="2" borderId="2" xfId="0" applyNumberFormat="1" applyFont="1" applyFill="1" applyBorder="1" applyAlignment="1">
      <alignment horizontal="center" vertical="center" wrapText="1"/>
    </xf>
    <xf numFmtId="164" fontId="0" fillId="0" borderId="5" xfId="0" applyNumberFormat="1" applyBorder="1" applyAlignment="1">
      <alignment horizontal="center" vertical="center" wrapText="1"/>
    </xf>
    <xf numFmtId="164" fontId="0" fillId="0" borderId="8" xfId="0" applyNumberFormat="1" applyBorder="1" applyAlignment="1">
      <alignment horizontal="center" vertical="center" wrapText="1"/>
    </xf>
    <xf numFmtId="164" fontId="0" fillId="0" borderId="0" xfId="0" applyNumberFormat="1"/>
    <xf numFmtId="164" fontId="0" fillId="0" borderId="6" xfId="0" applyNumberFormat="1" applyBorder="1"/>
    <xf numFmtId="164" fontId="0" fillId="0" borderId="9" xfId="0" applyNumberFormat="1" applyBorder="1"/>
    <xf numFmtId="0" fontId="1" fillId="3" borderId="1" xfId="0" applyFont="1" applyFill="1" applyBorder="1"/>
    <xf numFmtId="164" fontId="1" fillId="3" borderId="4" xfId="0" applyNumberFormat="1" applyFont="1" applyFill="1" applyBorder="1"/>
    <xf numFmtId="164" fontId="0" fillId="3" borderId="3" xfId="0" applyNumberFormat="1" applyFill="1" applyBorder="1"/>
    <xf numFmtId="164" fontId="0" fillId="3" borderId="6" xfId="0" applyNumberFormat="1" applyFill="1" applyBorder="1"/>
    <xf numFmtId="0" fontId="1" fillId="3" borderId="4" xfId="0" applyFont="1" applyFill="1" applyBorder="1"/>
    <xf numFmtId="0" fontId="3" fillId="3" borderId="7" xfId="0" applyFont="1" applyFill="1" applyBorder="1"/>
    <xf numFmtId="164" fontId="3" fillId="3" borderId="9" xfId="0" applyNumberFormat="1" applyFont="1" applyFill="1" applyBorder="1"/>
    <xf numFmtId="14" fontId="0" fillId="0" borderId="11" xfId="0" applyNumberFormat="1" applyBorder="1" applyAlignment="1">
      <alignment horizontal="center" vertical="center" wrapText="1"/>
    </xf>
    <xf numFmtId="0" fontId="0" fillId="0" borderId="11" xfId="0" applyBorder="1" applyAlignment="1">
      <alignment horizontal="center" vertical="center" wrapText="1"/>
    </xf>
    <xf numFmtId="164" fontId="0" fillId="0" borderId="11" xfId="0" applyNumberFormat="1"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2" fillId="2" borderId="14" xfId="0" applyFont="1" applyFill="1" applyBorder="1" applyAlignment="1">
      <alignment horizontal="center" vertical="center" wrapText="1"/>
    </xf>
    <xf numFmtId="0" fontId="2" fillId="2" borderId="15" xfId="0" applyFont="1" applyFill="1" applyBorder="1" applyAlignment="1">
      <alignment horizontal="center" vertical="center" wrapText="1"/>
    </xf>
    <xf numFmtId="164" fontId="2" fillId="2" borderId="15" xfId="0" applyNumberFormat="1" applyFont="1" applyFill="1" applyBorder="1" applyAlignment="1">
      <alignment horizontal="center" vertical="center" wrapText="1"/>
    </xf>
    <xf numFmtId="0" fontId="2" fillId="2" borderId="16" xfId="0" applyFont="1" applyFill="1"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164" fontId="0" fillId="0" borderId="15" xfId="0" applyNumberFormat="1" applyBorder="1" applyAlignment="1">
      <alignment horizontal="center" vertical="center" wrapText="1"/>
    </xf>
    <xf numFmtId="0" fontId="0" fillId="5" borderId="0" xfId="0" applyFill="1" applyAlignment="1">
      <alignment horizontal="center" vertical="center"/>
    </xf>
    <xf numFmtId="0" fontId="0" fillId="0" borderId="0" xfId="0" applyAlignment="1">
      <alignment horizontal="center" vertical="center" wrapText="1"/>
    </xf>
    <xf numFmtId="14" fontId="0" fillId="0" borderId="0" xfId="0" applyNumberFormat="1" applyAlignment="1">
      <alignment horizontal="center" vertical="center" wrapText="1"/>
    </xf>
    <xf numFmtId="0" fontId="0" fillId="0" borderId="0" xfId="0" applyAlignment="1">
      <alignment horizontal="center" vertical="center"/>
    </xf>
    <xf numFmtId="0" fontId="1" fillId="4" borderId="10" xfId="0" applyFont="1" applyFill="1" applyBorder="1" applyAlignment="1">
      <alignment horizontal="center" vertical="center"/>
    </xf>
    <xf numFmtId="0" fontId="0" fillId="4" borderId="10" xfId="0" applyFill="1" applyBorder="1" applyAlignment="1">
      <alignment horizontal="center" vertical="center"/>
    </xf>
    <xf numFmtId="0" fontId="5" fillId="5" borderId="10" xfId="0" applyFont="1" applyFill="1" applyBorder="1" applyAlignment="1">
      <alignment horizontal="center"/>
    </xf>
    <xf numFmtId="0" fontId="6" fillId="5" borderId="10" xfId="0" applyFont="1" applyFill="1" applyBorder="1" applyAlignment="1">
      <alignment horizontal="center"/>
    </xf>
    <xf numFmtId="0" fontId="5" fillId="5" borderId="10" xfId="0" applyFont="1" applyFill="1" applyBorder="1" applyAlignment="1">
      <alignment horizontal="center" vertical="center"/>
    </xf>
    <xf numFmtId="0" fontId="0" fillId="5" borderId="10" xfId="0" applyFill="1" applyBorder="1" applyAlignment="1">
      <alignment horizontal="center" vertical="center"/>
    </xf>
    <xf numFmtId="0" fontId="2" fillId="2" borderId="19" xfId="0" applyFont="1" applyFill="1" applyBorder="1" applyAlignment="1">
      <alignment horizontal="center" vertical="center" wrapText="1"/>
    </xf>
    <xf numFmtId="0" fontId="0" fillId="0" borderId="19" xfId="0" applyBorder="1" applyAlignment="1">
      <alignment horizontal="center" vertical="center" wrapText="1"/>
    </xf>
    <xf numFmtId="14" fontId="0" fillId="0" borderId="19" xfId="0" applyNumberFormat="1" applyBorder="1" applyAlignment="1">
      <alignment horizontal="center" vertical="center" wrapText="1"/>
    </xf>
    <xf numFmtId="164" fontId="0" fillId="0" borderId="19" xfId="0" applyNumberFormat="1" applyBorder="1" applyAlignment="1">
      <alignment horizontal="center" vertical="center" wrapText="1"/>
    </xf>
    <xf numFmtId="164" fontId="0" fillId="0" borderId="19" xfId="0" applyNumberFormat="1" applyBorder="1"/>
    <xf numFmtId="0" fontId="0" fillId="0" borderId="19" xfId="0" applyBorder="1"/>
    <xf numFmtId="0" fontId="2" fillId="2" borderId="20" xfId="0" applyFont="1" applyFill="1" applyBorder="1" applyAlignment="1">
      <alignment horizontal="center" vertical="center" wrapText="1"/>
    </xf>
    <xf numFmtId="0" fontId="2" fillId="2" borderId="21" xfId="0" applyFont="1" applyFill="1" applyBorder="1" applyAlignment="1">
      <alignment horizontal="center" vertical="center" wrapText="1"/>
    </xf>
    <xf numFmtId="164" fontId="2" fillId="2" borderId="21" xfId="0" applyNumberFormat="1" applyFont="1" applyFill="1" applyBorder="1" applyAlignment="1">
      <alignment horizontal="center" vertical="center" wrapText="1"/>
    </xf>
    <xf numFmtId="0" fontId="2" fillId="2" borderId="22" xfId="0" applyFont="1" applyFill="1" applyBorder="1" applyAlignment="1">
      <alignment horizontal="center" vertical="center" wrapText="1"/>
    </xf>
    <xf numFmtId="0" fontId="0" fillId="0" borderId="23" xfId="0" applyBorder="1" applyAlignment="1">
      <alignment horizontal="center" vertical="center" wrapText="1"/>
    </xf>
    <xf numFmtId="0" fontId="0" fillId="0" borderId="24" xfId="0" applyBorder="1"/>
    <xf numFmtId="0" fontId="0" fillId="0" borderId="25" xfId="0" applyBorder="1"/>
    <xf numFmtId="0" fontId="0" fillId="0" borderId="26" xfId="0" applyBorder="1"/>
    <xf numFmtId="164" fontId="0" fillId="0" borderId="26" xfId="0" applyNumberFormat="1" applyBorder="1"/>
    <xf numFmtId="0" fontId="0" fillId="0" borderId="27" xfId="0" applyBorder="1"/>
    <xf numFmtId="164" fontId="0" fillId="0" borderId="19" xfId="1" applyNumberFormat="1" applyFont="1" applyBorder="1"/>
    <xf numFmtId="164" fontId="0" fillId="0" borderId="26" xfId="1" applyNumberFormat="1" applyFont="1" applyBorder="1"/>
    <xf numFmtId="0" fontId="1" fillId="7" borderId="20" xfId="0" applyFont="1" applyFill="1" applyBorder="1"/>
    <xf numFmtId="164" fontId="0" fillId="0" borderId="19" xfId="0" applyNumberFormat="1" applyFont="1" applyBorder="1" applyAlignment="1">
      <alignment horizontal="center" vertical="center" wrapText="1"/>
    </xf>
    <xf numFmtId="0" fontId="1" fillId="6" borderId="21" xfId="0" applyFont="1" applyFill="1" applyBorder="1"/>
    <xf numFmtId="0" fontId="1" fillId="4" borderId="21" xfId="0" applyFont="1" applyFill="1" applyBorder="1"/>
    <xf numFmtId="0" fontId="0" fillId="4" borderId="28" xfId="0" applyFill="1" applyBorder="1" applyAlignment="1">
      <alignment horizontal="center"/>
    </xf>
    <xf numFmtId="0" fontId="9" fillId="4" borderId="28" xfId="0" applyFont="1" applyFill="1" applyBorder="1" applyAlignment="1">
      <alignment horizontal="center"/>
    </xf>
    <xf numFmtId="0" fontId="10" fillId="8" borderId="28" xfId="0" applyFont="1" applyFill="1" applyBorder="1" applyAlignment="1">
      <alignment horizontal="center"/>
    </xf>
    <xf numFmtId="0" fontId="11" fillId="8" borderId="28" xfId="0" applyFont="1" applyFill="1" applyBorder="1" applyAlignment="1">
      <alignment horizontal="center"/>
    </xf>
    <xf numFmtId="0" fontId="0" fillId="0" borderId="19" xfId="0" applyBorder="1" applyAlignment="1">
      <alignment horizontal="center" vertical="center"/>
    </xf>
    <xf numFmtId="0" fontId="8" fillId="3" borderId="20" xfId="0" applyFont="1" applyFill="1" applyBorder="1" applyAlignment="1">
      <alignment horizontal="center" vertical="center"/>
    </xf>
    <xf numFmtId="0" fontId="12" fillId="3" borderId="21" xfId="0" applyFont="1" applyFill="1" applyBorder="1" applyAlignment="1">
      <alignment horizontal="center" vertical="center"/>
    </xf>
    <xf numFmtId="0" fontId="12" fillId="3" borderId="22" xfId="0" applyFont="1" applyFill="1" applyBorder="1" applyAlignment="1">
      <alignment horizontal="center" vertical="center"/>
    </xf>
    <xf numFmtId="0" fontId="2" fillId="2" borderId="23"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0" fillId="0" borderId="24" xfId="0" applyBorder="1" applyAlignment="1">
      <alignment horizontal="center" vertical="center"/>
    </xf>
    <xf numFmtId="0" fontId="0" fillId="0" borderId="25" xfId="0" applyBorder="1" applyAlignment="1">
      <alignment horizontal="center" vertical="center" wrapText="1"/>
    </xf>
    <xf numFmtId="14" fontId="0" fillId="0" borderId="26" xfId="0" applyNumberFormat="1" applyBorder="1" applyAlignment="1">
      <alignment horizontal="center" vertical="center" wrapText="1"/>
    </xf>
    <xf numFmtId="0" fontId="0" fillId="0" borderId="26" xfId="0" applyBorder="1" applyAlignment="1">
      <alignment horizontal="center" vertical="center" wrapText="1"/>
    </xf>
    <xf numFmtId="0" fontId="0" fillId="0" borderId="26" xfId="0" applyBorder="1" applyAlignment="1">
      <alignment horizontal="center" vertical="center"/>
    </xf>
    <xf numFmtId="0" fontId="0" fillId="0" borderId="27" xfId="0" applyBorder="1" applyAlignment="1">
      <alignment horizontal="center" vertical="center"/>
    </xf>
    <xf numFmtId="0" fontId="1" fillId="3" borderId="20" xfId="0" applyFont="1" applyFill="1" applyBorder="1" applyAlignment="1">
      <alignment horizontal="center"/>
    </xf>
    <xf numFmtId="0" fontId="0" fillId="3" borderId="22" xfId="0" applyFill="1" applyBorder="1" applyAlignment="1">
      <alignment horizontal="center"/>
    </xf>
  </cellXfs>
  <cellStyles count="2">
    <cellStyle name="Comma" xfId="1" builtinId="3"/>
    <cellStyle name="Normal" xfId="0" builtinId="0"/>
  </cellStyles>
  <dxfs count="19">
    <dxf>
      <fill>
        <patternFill>
          <bgColor rgb="FFFFC7CE"/>
        </patternFill>
      </fill>
    </dxf>
    <dxf>
      <fill>
        <patternFill>
          <bgColor theme="5" tint="0.39994506668294322"/>
        </patternFill>
      </fill>
    </dxf>
    <dxf>
      <font>
        <color rgb="FF9C5700"/>
      </font>
      <fill>
        <patternFill>
          <bgColor rgb="FFFFEB9C"/>
        </patternFill>
      </fill>
    </dxf>
    <dxf>
      <alignment horizontal="center" vertical="center" textRotation="0" wrapText="1" indent="0" justifyLastLine="0" shrinkToFit="0" readingOrder="0"/>
      <border diagonalUp="0" diagonalDown="0">
        <left style="medium">
          <color auto="1"/>
        </left>
        <right style="medium">
          <color auto="1"/>
        </right>
        <top style="medium">
          <color auto="1"/>
        </top>
        <bottom style="medium">
          <color auto="1"/>
        </bottom>
        <vertical/>
        <horizontal/>
      </border>
    </dxf>
    <dxf>
      <alignment horizontal="center" vertical="center" textRotation="0" wrapText="1" indent="0" justifyLastLine="0" shrinkToFit="0" readingOrder="0"/>
      <border diagonalUp="0" diagonalDown="0">
        <left style="medium">
          <color auto="1"/>
        </left>
        <right/>
        <top style="medium">
          <color auto="1"/>
        </top>
        <bottom style="medium">
          <color auto="1"/>
        </bottom>
        <vertical/>
        <horizontal/>
      </border>
    </dxf>
    <dxf>
      <alignment horizontal="center" vertical="center" textRotation="0" wrapText="1" indent="0" justifyLastLine="0" shrinkToFit="0" readingOrder="0"/>
      <border diagonalUp="0" diagonalDown="0">
        <left style="medium">
          <color auto="1"/>
        </left>
        <right style="medium">
          <color auto="1"/>
        </right>
        <top style="medium">
          <color auto="1"/>
        </top>
        <bottom style="medium">
          <color auto="1"/>
        </bottom>
        <vertical/>
        <horizontal/>
      </border>
    </dxf>
    <dxf>
      <numFmt numFmtId="164" formatCode="&quot;₹&quot;\ #,##0.00"/>
      <alignment horizontal="center" vertical="center" textRotation="0" wrapText="1" indent="0" justifyLastLine="0" shrinkToFit="0" readingOrder="0"/>
      <border diagonalUp="0" diagonalDown="0">
        <left style="medium">
          <color auto="1"/>
        </left>
        <right style="medium">
          <color auto="1"/>
        </right>
        <top style="medium">
          <color auto="1"/>
        </top>
        <bottom style="medium">
          <color auto="1"/>
        </bottom>
        <vertical/>
        <horizontal/>
      </border>
    </dxf>
    <dxf>
      <alignment horizontal="center" vertical="center" textRotation="0" wrapText="1" indent="0" justifyLastLine="0" shrinkToFit="0" readingOrder="0"/>
      <border diagonalUp="0" diagonalDown="0">
        <left style="medium">
          <color auto="1"/>
        </left>
        <right style="medium">
          <color auto="1"/>
        </right>
        <top style="medium">
          <color auto="1"/>
        </top>
        <bottom style="medium">
          <color auto="1"/>
        </bottom>
        <vertical/>
        <horizontal/>
      </border>
    </dxf>
    <dxf>
      <alignment horizontal="center" vertical="center" textRotation="0" wrapText="1" indent="0" justifyLastLine="0" shrinkToFit="0" readingOrder="0"/>
      <border diagonalUp="0" diagonalDown="0">
        <left style="medium">
          <color auto="1"/>
        </left>
        <right style="medium">
          <color auto="1"/>
        </right>
        <top style="medium">
          <color auto="1"/>
        </top>
        <bottom style="medium">
          <color auto="1"/>
        </bottom>
        <vertical/>
        <horizontal/>
      </border>
    </dxf>
    <dxf>
      <alignment horizontal="center" vertical="center" textRotation="0" wrapText="1" indent="0" justifyLastLine="0" shrinkToFit="0" readingOrder="0"/>
      <border diagonalUp="0" diagonalDown="0">
        <left style="medium">
          <color auto="1"/>
        </left>
        <right style="medium">
          <color auto="1"/>
        </right>
        <top style="medium">
          <color auto="1"/>
        </top>
        <bottom style="medium">
          <color auto="1"/>
        </bottom>
        <vertical/>
        <horizontal/>
      </border>
    </dxf>
    <dxf>
      <alignment horizontal="center" vertical="center" textRotation="0" wrapText="1" indent="0" justifyLastLine="0" shrinkToFit="0" readingOrder="0"/>
      <border diagonalUp="0" diagonalDown="0">
        <left style="medium">
          <color auto="1"/>
        </left>
        <right style="medium">
          <color auto="1"/>
        </right>
        <top style="medium">
          <color auto="1"/>
        </top>
        <bottom style="medium">
          <color auto="1"/>
        </bottom>
        <vertical/>
        <horizontal/>
      </border>
    </dxf>
    <dxf>
      <alignment horizontal="center" vertical="center" textRotation="0" wrapText="1" indent="0" justifyLastLine="0" shrinkToFit="0" readingOrder="0"/>
      <border diagonalUp="0" diagonalDown="0">
        <left style="medium">
          <color auto="1"/>
        </left>
        <right style="medium">
          <color auto="1"/>
        </right>
        <top style="medium">
          <color auto="1"/>
        </top>
        <bottom style="medium">
          <color auto="1"/>
        </bottom>
        <vertical/>
        <horizontal/>
      </border>
    </dxf>
    <dxf>
      <numFmt numFmtId="19" formatCode="dd/mm/yyyy"/>
      <alignment horizontal="center" vertical="center" textRotation="0" wrapText="1" indent="0" justifyLastLine="0" shrinkToFit="0" readingOrder="0"/>
      <border diagonalUp="0" diagonalDown="0">
        <left style="medium">
          <color auto="1"/>
        </left>
        <right style="medium">
          <color auto="1"/>
        </right>
        <top style="medium">
          <color auto="1"/>
        </top>
        <bottom style="medium">
          <color auto="1"/>
        </bottom>
        <vertical/>
        <horizontal/>
      </border>
    </dxf>
    <dxf>
      <alignment horizontal="center" vertical="center" textRotation="0" wrapText="1" indent="0" justifyLastLine="0" shrinkToFit="0" readingOrder="0"/>
      <border diagonalUp="0" diagonalDown="0">
        <left/>
        <right style="medium">
          <color auto="1"/>
        </right>
        <top style="medium">
          <color auto="1"/>
        </top>
        <bottom style="medium">
          <color auto="1"/>
        </bottom>
        <vertical/>
        <horizontal/>
      </border>
    </dxf>
    <dxf>
      <border outline="0">
        <top style="medium">
          <color auto="1"/>
        </top>
      </border>
    </dxf>
    <dxf>
      <border outline="0">
        <left style="thick">
          <color auto="1"/>
        </left>
        <right style="thick">
          <color auto="1"/>
        </right>
        <top style="thick">
          <color auto="1"/>
        </top>
        <bottom style="thick">
          <color auto="1"/>
        </bottom>
      </border>
    </dxf>
    <dxf>
      <alignment horizontal="center" vertical="center" textRotation="0" wrapText="1" indent="0" justifyLastLine="0" shrinkToFit="0" readingOrder="0"/>
    </dxf>
    <dxf>
      <border outline="0">
        <bottom style="medium">
          <color auto="1"/>
        </bottom>
      </border>
    </dxf>
    <dxf>
      <font>
        <b/>
        <i val="0"/>
        <strike val="0"/>
        <condense val="0"/>
        <extend val="0"/>
        <outline val="0"/>
        <shadow val="0"/>
        <u val="none"/>
        <vertAlign val="baseline"/>
        <sz val="11"/>
        <color theme="9" tint="0.79998168889431442"/>
        <name val="Calibri"/>
        <family val="2"/>
        <scheme val="minor"/>
      </font>
      <fill>
        <patternFill patternType="solid">
          <fgColor indexed="64"/>
          <bgColor theme="9" tint="-0.249977111117893"/>
        </patternFill>
      </fill>
      <alignment horizontal="center" vertical="center" textRotation="0" wrapText="1" indent="0" justifyLastLine="0" shrinkToFit="0" readingOrder="0"/>
      <border diagonalUp="0" diagonalDown="0" outline="0">
        <left style="medium">
          <color auto="1"/>
        </left>
        <right style="medium">
          <color auto="1"/>
        </right>
        <top/>
        <bottom/>
      </border>
    </dxf>
  </dxfs>
  <tableStyles count="0" defaultTableStyle="TableStyleMedium2" defaultPivotStyle="PivotStyleLight16"/>
  <colors>
    <mruColors>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drawings/drawing1.xml><?xml version="1.0" encoding="utf-8"?>
<xdr:wsDr xmlns:xdr="http://schemas.openxmlformats.org/drawingml/2006/spreadsheetDrawing" xmlns:a="http://schemas.openxmlformats.org/drawingml/2006/main">
  <xdr:twoCellAnchor editAs="absolute">
    <xdr:from>
      <xdr:col>14</xdr:col>
      <xdr:colOff>533400</xdr:colOff>
      <xdr:row>16</xdr:row>
      <xdr:rowOff>114301</xdr:rowOff>
    </xdr:from>
    <xdr:to>
      <xdr:col>17</xdr:col>
      <xdr:colOff>533400</xdr:colOff>
      <xdr:row>28</xdr:row>
      <xdr:rowOff>144781</xdr:rowOff>
    </xdr:to>
    <mc:AlternateContent xmlns:mc="http://schemas.openxmlformats.org/markup-compatibility/2006" xmlns:sle15="http://schemas.microsoft.com/office/drawing/2012/slicer">
      <mc:Choice Requires="sle15">
        <xdr:graphicFrame macro="">
          <xdr:nvGraphicFramePr>
            <xdr:cNvPr id="2" name="Category">
              <a:extLst>
                <a:ext uri="{FF2B5EF4-FFF2-40B4-BE49-F238E27FC236}">
                  <a16:creationId xmlns:a16="http://schemas.microsoft.com/office/drawing/2014/main" id="{4FE1CD0C-6300-CDD0-2E22-4800EC3CC2F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759440" y="1882141"/>
              <a:ext cx="1828800" cy="136398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14</xdr:col>
      <xdr:colOff>518160</xdr:colOff>
      <xdr:row>0</xdr:row>
      <xdr:rowOff>167641</xdr:rowOff>
    </xdr:from>
    <xdr:to>
      <xdr:col>17</xdr:col>
      <xdr:colOff>518160</xdr:colOff>
      <xdr:row>14</xdr:row>
      <xdr:rowOff>137161</xdr:rowOff>
    </xdr:to>
    <mc:AlternateContent xmlns:mc="http://schemas.openxmlformats.org/markup-compatibility/2006" xmlns:sle15="http://schemas.microsoft.com/office/drawing/2012/slicer">
      <mc:Choice Requires="sle15">
        <xdr:graphicFrame macro="">
          <xdr:nvGraphicFramePr>
            <xdr:cNvPr id="3" name="PaymentMode">
              <a:extLst>
                <a:ext uri="{FF2B5EF4-FFF2-40B4-BE49-F238E27FC236}">
                  <a16:creationId xmlns:a16="http://schemas.microsoft.com/office/drawing/2014/main" id="{FD2EEB4A-06A5-1932-2A38-D9F5E8027359}"/>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mlns="">
        <xdr:sp macro="" textlink="">
          <xdr:nvSpPr>
            <xdr:cNvPr id="0" name=""/>
            <xdr:cNvSpPr>
              <a:spLocks noTextEdit="1"/>
            </xdr:cNvSpPr>
          </xdr:nvSpPr>
          <xdr:spPr>
            <a:xfrm>
              <a:off x="10744200" y="16764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43F5B86-4B8B-4109-B14E-63166418B6C4}" sourceName="Category">
  <extLst>
    <x:ext xmlns:x15="http://schemas.microsoft.com/office/spreadsheetml/2010/11/main" uri="{2F2917AC-EB37-4324-AD4E-5DD8C200BD13}">
      <x15:tableSlicerCache tableId="2"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68D4D030-10C3-45BD-B077-8BB04F28F160}" sourceName="PaymentMode">
  <extLst>
    <x:ext xmlns:x15="http://schemas.microsoft.com/office/spreadsheetml/2010/11/main" uri="{2F2917AC-EB37-4324-AD4E-5DD8C200BD13}">
      <x15:tableSlicerCache tableId="2"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1265C13-13E6-4D18-A277-9299DDDED764}" cache="Slicer_Category" caption="Category" rowHeight="234950"/>
  <slicer name="PaymentMode" xr10:uid="{785D37D0-DBBA-49A5-BE3A-F5AF1EBA2421}" cache="Slicer_PaymentMode" caption="Payment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40A2E6-9EF9-4A23-B4F1-36607D28E91E}" name="Table2" displayName="Table2" ref="A2:K52" totalsRowShown="0" headerRowDxfId="18" dataDxfId="16" headerRowBorderDxfId="17" tableBorderDxfId="15" totalsRowBorderDxfId="14">
  <autoFilter ref="A2:K52" xr:uid="{0A40A2E6-9EF9-4A23-B4F1-36607D28E91E}">
    <filterColumn colId="5">
      <filters>
        <filter val="Electronics"/>
      </filters>
    </filterColumn>
    <filterColumn colId="8">
      <filters>
        <filter val="Card"/>
        <filter val="UPI"/>
      </filters>
    </filterColumn>
  </autoFilter>
  <tableColumns count="11">
    <tableColumn id="1" xr3:uid="{F20047A1-28CA-4A2E-9700-EE85CD967777}" name="OrderID" dataDxfId="13"/>
    <tableColumn id="2" xr3:uid="{38D9ABC4-7A81-4317-8CAA-E808FA6A19E6}" name="Date" dataDxfId="12"/>
    <tableColumn id="3" xr3:uid="{83CF5A52-5AA1-420E-A0EB-5A173A27E6F4}" name="Customer" dataDxfId="11"/>
    <tableColumn id="4" xr3:uid="{9137BB94-ADC5-4CE6-89AE-AA2D1B9D0E25}" name="City" dataDxfId="10"/>
    <tableColumn id="5" xr3:uid="{1433C48A-095C-457E-99CD-EDEEE68C5541}" name="Product" dataDxfId="9"/>
    <tableColumn id="6" xr3:uid="{DD554F32-43E4-46AC-976E-F414A48908A6}" name="Category" dataDxfId="8"/>
    <tableColumn id="7" xr3:uid="{5A226ED8-2D5A-49C5-BBF9-B33FBC37A3AD}" name="Quantity" dataDxfId="7"/>
    <tableColumn id="8" xr3:uid="{2B6B6351-50CA-4CE2-A6DF-A1CB48D6DA61}" name="UnitPrice" dataDxfId="6"/>
    <tableColumn id="9" xr3:uid="{2FD782BE-192E-4C3F-9D63-33A3852C92BA}" name="PaymentMode" dataDxfId="5"/>
    <tableColumn id="10" xr3:uid="{C89072BA-5DCB-44F9-A7AE-F51D0432AA7C}" name="Salesperson" dataDxfId="4"/>
    <tableColumn id="11" xr3:uid="{79D75163-9AC6-4E8C-B655-F7AAF75FA590}" name="Total Sal" dataDxfId="3"/>
  </tableColumns>
  <tableStyleInfo name="TableStyleLight21" showFirstColumn="0"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47986-8D25-4FAA-9C00-59D3247D0D70}">
  <dimension ref="A1:J52"/>
  <sheetViews>
    <sheetView workbookViewId="0">
      <selection activeCell="J16" sqref="J16"/>
    </sheetView>
  </sheetViews>
  <sheetFormatPr defaultRowHeight="14.4" x14ac:dyDescent="0.3"/>
  <cols>
    <col min="1" max="1" width="7.5546875" bestFit="1" customWidth="1"/>
    <col min="2" max="2" width="10.33203125" bestFit="1" customWidth="1"/>
    <col min="3" max="3" width="9.109375" bestFit="1" customWidth="1"/>
    <col min="4" max="4" width="8.21875" bestFit="1" customWidth="1"/>
    <col min="5" max="5" width="11.109375" bestFit="1" customWidth="1"/>
    <col min="6" max="6" width="10.44140625" bestFit="1" customWidth="1"/>
    <col min="7" max="7" width="8.33203125" bestFit="1" customWidth="1"/>
    <col min="8" max="8" width="11.44140625" style="15" bestFit="1" customWidth="1"/>
    <col min="9" max="9" width="13.6640625" bestFit="1" customWidth="1"/>
    <col min="10" max="10" width="11" bestFit="1" customWidth="1"/>
  </cols>
  <sheetData>
    <row r="1" spans="1:10" ht="15.6" thickTop="1" thickBot="1" x14ac:dyDescent="0.35">
      <c r="A1" s="4" t="s">
        <v>0</v>
      </c>
      <c r="B1" s="1" t="s">
        <v>1</v>
      </c>
      <c r="C1" s="1" t="s">
        <v>2</v>
      </c>
      <c r="D1" s="1" t="s">
        <v>3</v>
      </c>
      <c r="E1" s="1" t="s">
        <v>4</v>
      </c>
      <c r="F1" s="1" t="s">
        <v>5</v>
      </c>
      <c r="G1" s="1" t="s">
        <v>6</v>
      </c>
      <c r="H1" s="12" t="s">
        <v>7</v>
      </c>
      <c r="I1" s="1" t="s">
        <v>8</v>
      </c>
      <c r="J1" s="2" t="s">
        <v>9</v>
      </c>
    </row>
    <row r="2" spans="1:10" ht="15" thickBot="1" x14ac:dyDescent="0.35">
      <c r="A2" s="5">
        <v>1001</v>
      </c>
      <c r="B2" s="6">
        <v>46235</v>
      </c>
      <c r="C2" s="3" t="s">
        <v>10</v>
      </c>
      <c r="D2" s="3" t="s">
        <v>11</v>
      </c>
      <c r="E2" s="3" t="s">
        <v>12</v>
      </c>
      <c r="F2" s="3" t="s">
        <v>13</v>
      </c>
      <c r="G2" s="3">
        <v>2</v>
      </c>
      <c r="H2" s="13">
        <v>55000</v>
      </c>
      <c r="I2" s="3" t="s">
        <v>14</v>
      </c>
      <c r="J2" s="7" t="s">
        <v>15</v>
      </c>
    </row>
    <row r="3" spans="1:10" ht="15" thickBot="1" x14ac:dyDescent="0.35">
      <c r="A3" s="5">
        <v>1002</v>
      </c>
      <c r="B3" s="6">
        <v>46235</v>
      </c>
      <c r="C3" s="3" t="s">
        <v>16</v>
      </c>
      <c r="D3" s="3" t="s">
        <v>17</v>
      </c>
      <c r="E3" s="3" t="s">
        <v>18</v>
      </c>
      <c r="F3" s="3" t="s">
        <v>13</v>
      </c>
      <c r="G3" s="3">
        <v>3</v>
      </c>
      <c r="H3" s="13">
        <v>22000</v>
      </c>
      <c r="I3" s="3" t="s">
        <v>19</v>
      </c>
      <c r="J3" s="7" t="s">
        <v>20</v>
      </c>
    </row>
    <row r="4" spans="1:10" ht="15" thickBot="1" x14ac:dyDescent="0.35">
      <c r="A4" s="5">
        <v>1003</v>
      </c>
      <c r="B4" s="6">
        <v>46236</v>
      </c>
      <c r="C4" s="3" t="s">
        <v>21</v>
      </c>
      <c r="D4" s="3" t="s">
        <v>22</v>
      </c>
      <c r="E4" s="3" t="s">
        <v>23</v>
      </c>
      <c r="F4" s="3" t="s">
        <v>24</v>
      </c>
      <c r="G4" s="3">
        <v>5</v>
      </c>
      <c r="H4" s="13">
        <v>1200</v>
      </c>
      <c r="I4" s="3" t="s">
        <v>25</v>
      </c>
      <c r="J4" s="7" t="s">
        <v>26</v>
      </c>
    </row>
    <row r="5" spans="1:10" ht="15" thickBot="1" x14ac:dyDescent="0.35">
      <c r="A5" s="5">
        <v>1004</v>
      </c>
      <c r="B5" s="6">
        <v>46236</v>
      </c>
      <c r="C5" s="3" t="s">
        <v>27</v>
      </c>
      <c r="D5" s="3" t="s">
        <v>11</v>
      </c>
      <c r="E5" s="3" t="s">
        <v>28</v>
      </c>
      <c r="F5" s="3" t="s">
        <v>24</v>
      </c>
      <c r="G5" s="3">
        <v>4</v>
      </c>
      <c r="H5" s="13">
        <v>800</v>
      </c>
      <c r="I5" s="3" t="s">
        <v>14</v>
      </c>
      <c r="J5" s="7" t="s">
        <v>15</v>
      </c>
    </row>
    <row r="6" spans="1:10" ht="15" thickBot="1" x14ac:dyDescent="0.35">
      <c r="A6" s="5">
        <v>1005</v>
      </c>
      <c r="B6" s="6">
        <v>46237</v>
      </c>
      <c r="C6" s="3" t="s">
        <v>29</v>
      </c>
      <c r="D6" s="3" t="s">
        <v>30</v>
      </c>
      <c r="E6" s="3" t="s">
        <v>31</v>
      </c>
      <c r="F6" s="3" t="s">
        <v>24</v>
      </c>
      <c r="G6" s="3">
        <v>2</v>
      </c>
      <c r="H6" s="13">
        <v>2500</v>
      </c>
      <c r="I6" s="3" t="s">
        <v>19</v>
      </c>
      <c r="J6" s="7" t="s">
        <v>16</v>
      </c>
    </row>
    <row r="7" spans="1:10" ht="15" thickBot="1" x14ac:dyDescent="0.35">
      <c r="A7" s="5">
        <v>1006</v>
      </c>
      <c r="B7" s="6">
        <v>46237</v>
      </c>
      <c r="C7" s="3" t="s">
        <v>32</v>
      </c>
      <c r="D7" s="3" t="s">
        <v>22</v>
      </c>
      <c r="E7" s="3" t="s">
        <v>33</v>
      </c>
      <c r="F7" s="3" t="s">
        <v>13</v>
      </c>
      <c r="G7" s="3">
        <v>2</v>
      </c>
      <c r="H7" s="13">
        <v>15000</v>
      </c>
      <c r="I7" s="3" t="s">
        <v>14</v>
      </c>
      <c r="J7" s="7" t="s">
        <v>20</v>
      </c>
    </row>
    <row r="8" spans="1:10" ht="15" thickBot="1" x14ac:dyDescent="0.35">
      <c r="A8" s="5">
        <v>1007</v>
      </c>
      <c r="B8" s="6">
        <v>46238</v>
      </c>
      <c r="C8" s="3" t="s">
        <v>34</v>
      </c>
      <c r="D8" s="3" t="s">
        <v>17</v>
      </c>
      <c r="E8" s="3" t="s">
        <v>12</v>
      </c>
      <c r="F8" s="3" t="s">
        <v>13</v>
      </c>
      <c r="G8" s="3">
        <v>1</v>
      </c>
      <c r="H8" s="13">
        <v>62000</v>
      </c>
      <c r="I8" s="3" t="s">
        <v>19</v>
      </c>
      <c r="J8" s="7" t="s">
        <v>26</v>
      </c>
    </row>
    <row r="9" spans="1:10" ht="15" thickBot="1" x14ac:dyDescent="0.35">
      <c r="A9" s="5">
        <v>1008</v>
      </c>
      <c r="B9" s="6">
        <v>46238</v>
      </c>
      <c r="C9" s="3" t="s">
        <v>35</v>
      </c>
      <c r="D9" s="3" t="s">
        <v>11</v>
      </c>
      <c r="E9" s="3" t="s">
        <v>36</v>
      </c>
      <c r="F9" s="3" t="s">
        <v>13</v>
      </c>
      <c r="G9" s="3">
        <v>2</v>
      </c>
      <c r="H9" s="13">
        <v>9500</v>
      </c>
      <c r="I9" s="3" t="s">
        <v>25</v>
      </c>
      <c r="J9" s="7" t="s">
        <v>15</v>
      </c>
    </row>
    <row r="10" spans="1:10" ht="15" thickBot="1" x14ac:dyDescent="0.35">
      <c r="A10" s="5">
        <v>1009</v>
      </c>
      <c r="B10" s="6">
        <v>46239</v>
      </c>
      <c r="C10" s="3" t="s">
        <v>37</v>
      </c>
      <c r="D10" s="3" t="s">
        <v>38</v>
      </c>
      <c r="E10" s="3" t="s">
        <v>78</v>
      </c>
      <c r="F10" s="3" t="s">
        <v>13</v>
      </c>
      <c r="G10" s="3">
        <v>2</v>
      </c>
      <c r="H10" s="13">
        <v>18000</v>
      </c>
      <c r="I10" s="3" t="s">
        <v>14</v>
      </c>
      <c r="J10" s="7" t="s">
        <v>16</v>
      </c>
    </row>
    <row r="11" spans="1:10" ht="15" thickBot="1" x14ac:dyDescent="0.35">
      <c r="A11" s="5">
        <v>1010</v>
      </c>
      <c r="B11" s="6">
        <v>46239</v>
      </c>
      <c r="C11" s="3" t="s">
        <v>39</v>
      </c>
      <c r="D11" s="3" t="s">
        <v>30</v>
      </c>
      <c r="E11" s="3" t="s">
        <v>23</v>
      </c>
      <c r="F11" s="3" t="s">
        <v>24</v>
      </c>
      <c r="G11" s="3">
        <v>3</v>
      </c>
      <c r="H11" s="13">
        <v>1500</v>
      </c>
      <c r="I11" s="3" t="s">
        <v>19</v>
      </c>
      <c r="J11" s="7" t="s">
        <v>20</v>
      </c>
    </row>
    <row r="12" spans="1:10" ht="15" thickBot="1" x14ac:dyDescent="0.35">
      <c r="A12" s="5">
        <v>1011</v>
      </c>
      <c r="B12" s="6">
        <v>46240</v>
      </c>
      <c r="C12" s="3" t="s">
        <v>40</v>
      </c>
      <c r="D12" s="3" t="s">
        <v>11</v>
      </c>
      <c r="E12" s="3" t="s">
        <v>28</v>
      </c>
      <c r="F12" s="3" t="s">
        <v>24</v>
      </c>
      <c r="G12" s="3">
        <v>6</v>
      </c>
      <c r="H12" s="13">
        <v>700</v>
      </c>
      <c r="I12" s="3" t="s">
        <v>14</v>
      </c>
      <c r="J12" s="7" t="s">
        <v>26</v>
      </c>
    </row>
    <row r="13" spans="1:10" ht="15" thickBot="1" x14ac:dyDescent="0.35">
      <c r="A13" s="5">
        <v>1012</v>
      </c>
      <c r="B13" s="6">
        <v>46240</v>
      </c>
      <c r="C13" s="3" t="s">
        <v>41</v>
      </c>
      <c r="D13" s="3" t="s">
        <v>22</v>
      </c>
      <c r="E13" s="3" t="s">
        <v>12</v>
      </c>
      <c r="F13" s="3" t="s">
        <v>13</v>
      </c>
      <c r="G13" s="3">
        <v>1</v>
      </c>
      <c r="H13" s="13">
        <v>58000</v>
      </c>
      <c r="I13" s="3" t="s">
        <v>19</v>
      </c>
      <c r="J13" s="7" t="s">
        <v>15</v>
      </c>
    </row>
    <row r="14" spans="1:10" ht="15" thickBot="1" x14ac:dyDescent="0.35">
      <c r="A14" s="5">
        <v>1013</v>
      </c>
      <c r="B14" s="6">
        <v>46241</v>
      </c>
      <c r="C14" s="3" t="s">
        <v>42</v>
      </c>
      <c r="D14" s="3" t="s">
        <v>17</v>
      </c>
      <c r="E14" s="3" t="s">
        <v>33</v>
      </c>
      <c r="F14" s="3" t="s">
        <v>13</v>
      </c>
      <c r="G14" s="3">
        <v>3</v>
      </c>
      <c r="H14" s="13">
        <v>13500</v>
      </c>
      <c r="I14" s="3" t="s">
        <v>14</v>
      </c>
      <c r="J14" s="7" t="s">
        <v>16</v>
      </c>
    </row>
    <row r="15" spans="1:10" ht="15" thickBot="1" x14ac:dyDescent="0.35">
      <c r="A15" s="5">
        <v>1014</v>
      </c>
      <c r="B15" s="6">
        <v>46241</v>
      </c>
      <c r="C15" s="3" t="s">
        <v>43</v>
      </c>
      <c r="D15" s="3" t="s">
        <v>38</v>
      </c>
      <c r="E15" s="3" t="s">
        <v>31</v>
      </c>
      <c r="F15" s="3" t="s">
        <v>24</v>
      </c>
      <c r="G15" s="3">
        <v>4</v>
      </c>
      <c r="H15" s="13">
        <v>2200</v>
      </c>
      <c r="I15" s="3" t="s">
        <v>25</v>
      </c>
      <c r="J15" s="7" t="s">
        <v>20</v>
      </c>
    </row>
    <row r="16" spans="1:10" ht="15" thickBot="1" x14ac:dyDescent="0.35">
      <c r="A16" s="5">
        <v>1015</v>
      </c>
      <c r="B16" s="6">
        <v>46242</v>
      </c>
      <c r="C16" s="3" t="s">
        <v>44</v>
      </c>
      <c r="D16" s="3" t="s">
        <v>30</v>
      </c>
      <c r="E16" s="3" t="s">
        <v>36</v>
      </c>
      <c r="F16" s="3" t="s">
        <v>13</v>
      </c>
      <c r="G16" s="3">
        <v>1</v>
      </c>
      <c r="H16" s="13">
        <v>11000</v>
      </c>
      <c r="I16" s="3" t="s">
        <v>19</v>
      </c>
      <c r="J16" s="7" t="s">
        <v>26</v>
      </c>
    </row>
    <row r="17" spans="1:10" ht="15" thickBot="1" x14ac:dyDescent="0.35">
      <c r="A17" s="5">
        <v>1016</v>
      </c>
      <c r="B17" s="6">
        <v>46242</v>
      </c>
      <c r="C17" s="3" t="s">
        <v>45</v>
      </c>
      <c r="D17" s="3" t="s">
        <v>87</v>
      </c>
      <c r="E17" s="3" t="s">
        <v>18</v>
      </c>
      <c r="F17" s="3" t="s">
        <v>13</v>
      </c>
      <c r="G17" s="3">
        <v>3</v>
      </c>
      <c r="H17" s="13">
        <v>25000</v>
      </c>
      <c r="I17" s="3" t="s">
        <v>14</v>
      </c>
      <c r="J17" s="7" t="s">
        <v>15</v>
      </c>
    </row>
    <row r="18" spans="1:10" ht="15" thickBot="1" x14ac:dyDescent="0.35">
      <c r="A18" s="5">
        <v>1017</v>
      </c>
      <c r="B18" s="6">
        <v>46243</v>
      </c>
      <c r="C18" s="3" t="s">
        <v>46</v>
      </c>
      <c r="D18" s="3" t="s">
        <v>22</v>
      </c>
      <c r="E18" s="3" t="s">
        <v>23</v>
      </c>
      <c r="F18" s="3" t="s">
        <v>24</v>
      </c>
      <c r="G18" s="3">
        <v>5</v>
      </c>
      <c r="H18" s="13">
        <v>1300</v>
      </c>
      <c r="I18" s="3" t="s">
        <v>25</v>
      </c>
      <c r="J18" s="7" t="s">
        <v>16</v>
      </c>
    </row>
    <row r="19" spans="1:10" ht="15" thickBot="1" x14ac:dyDescent="0.35">
      <c r="A19" s="5">
        <v>1018</v>
      </c>
      <c r="B19" s="6">
        <v>46243</v>
      </c>
      <c r="C19" s="3" t="s">
        <v>47</v>
      </c>
      <c r="D19" s="3" t="s">
        <v>17</v>
      </c>
      <c r="E19" s="3" t="s">
        <v>28</v>
      </c>
      <c r="F19" s="3" t="s">
        <v>24</v>
      </c>
      <c r="G19" s="3">
        <v>8</v>
      </c>
      <c r="H19" s="13">
        <v>650</v>
      </c>
      <c r="I19" s="3" t="s">
        <v>19</v>
      </c>
      <c r="J19" s="7" t="s">
        <v>20</v>
      </c>
    </row>
    <row r="20" spans="1:10" ht="15" thickBot="1" x14ac:dyDescent="0.35">
      <c r="A20" s="5">
        <v>1019</v>
      </c>
      <c r="B20" s="6">
        <v>46244</v>
      </c>
      <c r="C20" s="3" t="s">
        <v>20</v>
      </c>
      <c r="D20" s="3" t="s">
        <v>38</v>
      </c>
      <c r="E20" s="3" t="s">
        <v>12</v>
      </c>
      <c r="F20" s="3" t="s">
        <v>13</v>
      </c>
      <c r="G20" s="3">
        <v>2</v>
      </c>
      <c r="H20" s="13">
        <v>60000</v>
      </c>
      <c r="I20" s="3" t="s">
        <v>14</v>
      </c>
      <c r="J20" s="7" t="s">
        <v>26</v>
      </c>
    </row>
    <row r="21" spans="1:10" ht="15" thickBot="1" x14ac:dyDescent="0.35">
      <c r="A21" s="5">
        <v>1020</v>
      </c>
      <c r="B21" s="6">
        <v>46244</v>
      </c>
      <c r="C21" s="3" t="s">
        <v>48</v>
      </c>
      <c r="D21" s="3" t="s">
        <v>30</v>
      </c>
      <c r="E21" s="3" t="s">
        <v>33</v>
      </c>
      <c r="F21" s="3" t="s">
        <v>13</v>
      </c>
      <c r="G21" s="3">
        <v>1</v>
      </c>
      <c r="H21" s="13">
        <v>16000</v>
      </c>
      <c r="I21" s="3" t="s">
        <v>19</v>
      </c>
      <c r="J21" s="7" t="s">
        <v>15</v>
      </c>
    </row>
    <row r="22" spans="1:10" ht="15" thickBot="1" x14ac:dyDescent="0.35">
      <c r="A22" s="5">
        <v>1021</v>
      </c>
      <c r="B22" s="6">
        <v>46245</v>
      </c>
      <c r="C22" s="3" t="s">
        <v>49</v>
      </c>
      <c r="D22" s="3" t="s">
        <v>11</v>
      </c>
      <c r="E22" s="3" t="s">
        <v>36</v>
      </c>
      <c r="F22" s="3" t="s">
        <v>13</v>
      </c>
      <c r="G22" s="3">
        <v>2</v>
      </c>
      <c r="H22" s="13">
        <v>9000</v>
      </c>
      <c r="I22" s="3" t="s">
        <v>14</v>
      </c>
      <c r="J22" s="7" t="s">
        <v>16</v>
      </c>
    </row>
    <row r="23" spans="1:10" ht="15" thickBot="1" x14ac:dyDescent="0.35">
      <c r="A23" s="5">
        <v>1022</v>
      </c>
      <c r="B23" s="6">
        <v>46245</v>
      </c>
      <c r="C23" s="3" t="s">
        <v>50</v>
      </c>
      <c r="D23" s="3" t="s">
        <v>22</v>
      </c>
      <c r="E23" s="3" t="s">
        <v>31</v>
      </c>
      <c r="F23" s="3" t="s">
        <v>24</v>
      </c>
      <c r="G23" s="3">
        <v>3</v>
      </c>
      <c r="H23" s="13">
        <v>2800</v>
      </c>
      <c r="I23" s="3" t="s">
        <v>25</v>
      </c>
      <c r="J23" s="7" t="s">
        <v>20</v>
      </c>
    </row>
    <row r="24" spans="1:10" ht="15" thickBot="1" x14ac:dyDescent="0.35">
      <c r="A24" s="5">
        <v>1023</v>
      </c>
      <c r="B24" s="6">
        <v>46246</v>
      </c>
      <c r="C24" s="3" t="s">
        <v>51</v>
      </c>
      <c r="D24" s="3" t="s">
        <v>17</v>
      </c>
      <c r="E24" s="3" t="s">
        <v>18</v>
      </c>
      <c r="F24" s="3" t="s">
        <v>13</v>
      </c>
      <c r="G24" s="3">
        <v>2</v>
      </c>
      <c r="H24" s="13">
        <v>21000</v>
      </c>
      <c r="I24" s="3" t="s">
        <v>19</v>
      </c>
      <c r="J24" s="7" t="s">
        <v>26</v>
      </c>
    </row>
    <row r="25" spans="1:10" ht="15" thickBot="1" x14ac:dyDescent="0.35">
      <c r="A25" s="5">
        <v>1024</v>
      </c>
      <c r="B25" s="6">
        <v>46246</v>
      </c>
      <c r="C25" s="3" t="s">
        <v>52</v>
      </c>
      <c r="D25" s="3" t="s">
        <v>38</v>
      </c>
      <c r="E25" s="3" t="s">
        <v>23</v>
      </c>
      <c r="F25" s="3" t="s">
        <v>24</v>
      </c>
      <c r="G25" s="3">
        <v>4</v>
      </c>
      <c r="H25" s="13">
        <v>1400</v>
      </c>
      <c r="I25" s="3" t="s">
        <v>14</v>
      </c>
      <c r="J25" s="7" t="s">
        <v>15</v>
      </c>
    </row>
    <row r="26" spans="1:10" ht="15" thickBot="1" x14ac:dyDescent="0.35">
      <c r="A26" s="5">
        <v>1025</v>
      </c>
      <c r="B26" s="6">
        <v>46247</v>
      </c>
      <c r="C26" s="3" t="s">
        <v>53</v>
      </c>
      <c r="D26" s="3" t="s">
        <v>30</v>
      </c>
      <c r="E26" s="3" t="s">
        <v>28</v>
      </c>
      <c r="F26" s="3" t="s">
        <v>24</v>
      </c>
      <c r="G26" s="3">
        <v>5</v>
      </c>
      <c r="H26" s="13">
        <v>750</v>
      </c>
      <c r="I26" s="3" t="s">
        <v>25</v>
      </c>
      <c r="J26" s="7" t="s">
        <v>16</v>
      </c>
    </row>
    <row r="27" spans="1:10" ht="15" thickBot="1" x14ac:dyDescent="0.35">
      <c r="A27" s="5">
        <v>1026</v>
      </c>
      <c r="B27" s="6">
        <v>46247</v>
      </c>
      <c r="C27" s="3" t="s">
        <v>54</v>
      </c>
      <c r="D27" s="3" t="s">
        <v>11</v>
      </c>
      <c r="E27" s="3" t="s">
        <v>12</v>
      </c>
      <c r="F27" s="3" t="s">
        <v>13</v>
      </c>
      <c r="G27" s="3">
        <v>1</v>
      </c>
      <c r="H27" s="13">
        <v>65000</v>
      </c>
      <c r="I27" s="3" t="s">
        <v>19</v>
      </c>
      <c r="J27" s="7" t="s">
        <v>20</v>
      </c>
    </row>
    <row r="28" spans="1:10" ht="15" thickBot="1" x14ac:dyDescent="0.35">
      <c r="A28" s="5">
        <v>1027</v>
      </c>
      <c r="B28" s="6">
        <v>46248</v>
      </c>
      <c r="C28" s="3" t="s">
        <v>55</v>
      </c>
      <c r="D28" s="3" t="s">
        <v>22</v>
      </c>
      <c r="E28" s="3" t="s">
        <v>33</v>
      </c>
      <c r="F28" s="3" t="s">
        <v>13</v>
      </c>
      <c r="G28" s="3">
        <v>2</v>
      </c>
      <c r="H28" s="13">
        <v>14500</v>
      </c>
      <c r="I28" s="3" t="s">
        <v>14</v>
      </c>
      <c r="J28" s="7" t="s">
        <v>26</v>
      </c>
    </row>
    <row r="29" spans="1:10" ht="15" thickBot="1" x14ac:dyDescent="0.35">
      <c r="A29" s="5">
        <v>1028</v>
      </c>
      <c r="B29" s="6">
        <v>46248</v>
      </c>
      <c r="C29" s="3" t="s">
        <v>56</v>
      </c>
      <c r="D29" s="3" t="s">
        <v>17</v>
      </c>
      <c r="E29" s="3" t="s">
        <v>36</v>
      </c>
      <c r="F29" s="3" t="s">
        <v>13</v>
      </c>
      <c r="G29" s="3">
        <v>3</v>
      </c>
      <c r="H29" s="13">
        <v>8500</v>
      </c>
      <c r="I29" s="3" t="s">
        <v>19</v>
      </c>
      <c r="J29" s="7" t="s">
        <v>15</v>
      </c>
    </row>
    <row r="30" spans="1:10" ht="15" thickBot="1" x14ac:dyDescent="0.35">
      <c r="A30" s="5">
        <v>1029</v>
      </c>
      <c r="B30" s="6">
        <v>46249</v>
      </c>
      <c r="C30" s="3" t="s">
        <v>57</v>
      </c>
      <c r="D30" s="3" t="s">
        <v>38</v>
      </c>
      <c r="E30" s="3" t="s">
        <v>18</v>
      </c>
      <c r="F30" s="3" t="s">
        <v>13</v>
      </c>
      <c r="G30" s="3">
        <v>1</v>
      </c>
      <c r="H30" s="13">
        <v>23000</v>
      </c>
      <c r="I30" s="3" t="s">
        <v>25</v>
      </c>
      <c r="J30" s="7" t="s">
        <v>16</v>
      </c>
    </row>
    <row r="31" spans="1:10" ht="15" thickBot="1" x14ac:dyDescent="0.35">
      <c r="A31" s="5">
        <v>1030</v>
      </c>
      <c r="B31" s="6">
        <v>46249</v>
      </c>
      <c r="C31" s="3" t="s">
        <v>58</v>
      </c>
      <c r="D31" s="3" t="s">
        <v>30</v>
      </c>
      <c r="E31" s="3" t="s">
        <v>31</v>
      </c>
      <c r="F31" s="3" t="s">
        <v>24</v>
      </c>
      <c r="G31" s="3">
        <v>2</v>
      </c>
      <c r="H31" s="13">
        <v>3000</v>
      </c>
      <c r="I31" s="3" t="s">
        <v>14</v>
      </c>
      <c r="J31" s="7" t="s">
        <v>20</v>
      </c>
    </row>
    <row r="32" spans="1:10" ht="15" thickBot="1" x14ac:dyDescent="0.35">
      <c r="A32" s="5">
        <v>1031</v>
      </c>
      <c r="B32" s="6">
        <v>46250</v>
      </c>
      <c r="C32" s="3" t="s">
        <v>59</v>
      </c>
      <c r="D32" s="3" t="s">
        <v>11</v>
      </c>
      <c r="E32" s="3" t="s">
        <v>23</v>
      </c>
      <c r="F32" s="3" t="s">
        <v>24</v>
      </c>
      <c r="G32" s="3">
        <v>7</v>
      </c>
      <c r="H32" s="13">
        <v>1100</v>
      </c>
      <c r="I32" s="3" t="s">
        <v>19</v>
      </c>
      <c r="J32" s="7" t="s">
        <v>26</v>
      </c>
    </row>
    <row r="33" spans="1:10" ht="15" thickBot="1" x14ac:dyDescent="0.35">
      <c r="A33" s="5">
        <v>1032</v>
      </c>
      <c r="B33" s="6">
        <v>46250</v>
      </c>
      <c r="C33" s="3" t="s">
        <v>60</v>
      </c>
      <c r="D33" s="3" t="s">
        <v>22</v>
      </c>
      <c r="E33" s="3" t="s">
        <v>28</v>
      </c>
      <c r="F33" s="3" t="s">
        <v>24</v>
      </c>
      <c r="G33" s="3">
        <v>4</v>
      </c>
      <c r="H33" s="13">
        <v>900</v>
      </c>
      <c r="I33" s="3" t="s">
        <v>14</v>
      </c>
      <c r="J33" s="7" t="s">
        <v>15</v>
      </c>
    </row>
    <row r="34" spans="1:10" ht="15" thickBot="1" x14ac:dyDescent="0.35">
      <c r="A34" s="5">
        <v>1033</v>
      </c>
      <c r="B34" s="6">
        <v>46251</v>
      </c>
      <c r="C34" s="3" t="s">
        <v>61</v>
      </c>
      <c r="D34" s="3" t="s">
        <v>17</v>
      </c>
      <c r="E34" s="3" t="s">
        <v>12</v>
      </c>
      <c r="F34" s="3" t="s">
        <v>13</v>
      </c>
      <c r="G34" s="3">
        <v>2</v>
      </c>
      <c r="H34" s="13">
        <v>57000</v>
      </c>
      <c r="I34" s="3" t="s">
        <v>19</v>
      </c>
      <c r="J34" s="7" t="s">
        <v>16</v>
      </c>
    </row>
    <row r="35" spans="1:10" ht="15" thickBot="1" x14ac:dyDescent="0.35">
      <c r="A35" s="5">
        <v>1034</v>
      </c>
      <c r="B35" s="6">
        <v>46251</v>
      </c>
      <c r="C35" s="3" t="s">
        <v>62</v>
      </c>
      <c r="D35" s="3" t="s">
        <v>38</v>
      </c>
      <c r="E35" s="3" t="s">
        <v>33</v>
      </c>
      <c r="F35" s="3" t="s">
        <v>13</v>
      </c>
      <c r="G35" s="3">
        <v>1</v>
      </c>
      <c r="H35" s="13">
        <v>15500</v>
      </c>
      <c r="I35" s="3" t="s">
        <v>25</v>
      </c>
      <c r="J35" s="7" t="s">
        <v>20</v>
      </c>
    </row>
    <row r="36" spans="1:10" ht="15" thickBot="1" x14ac:dyDescent="0.35">
      <c r="A36" s="5">
        <v>1035</v>
      </c>
      <c r="B36" s="6">
        <v>46252</v>
      </c>
      <c r="C36" s="3" t="s">
        <v>63</v>
      </c>
      <c r="D36" s="3" t="s">
        <v>30</v>
      </c>
      <c r="E36" s="3" t="s">
        <v>36</v>
      </c>
      <c r="F36" s="3" t="s">
        <v>13</v>
      </c>
      <c r="G36" s="3">
        <v>2</v>
      </c>
      <c r="H36" s="13">
        <v>10000</v>
      </c>
      <c r="I36" s="3" t="s">
        <v>14</v>
      </c>
      <c r="J36" s="7" t="s">
        <v>26</v>
      </c>
    </row>
    <row r="37" spans="1:10" ht="15" thickBot="1" x14ac:dyDescent="0.35">
      <c r="A37" s="5">
        <v>1036</v>
      </c>
      <c r="B37" s="6">
        <v>46252</v>
      </c>
      <c r="C37" s="3" t="s">
        <v>64</v>
      </c>
      <c r="D37" s="3" t="s">
        <v>11</v>
      </c>
      <c r="E37" s="3" t="s">
        <v>18</v>
      </c>
      <c r="F37" s="3" t="s">
        <v>13</v>
      </c>
      <c r="G37" s="3">
        <v>4</v>
      </c>
      <c r="H37" s="13">
        <v>19500</v>
      </c>
      <c r="I37" s="3" t="s">
        <v>19</v>
      </c>
      <c r="J37" s="7" t="s">
        <v>15</v>
      </c>
    </row>
    <row r="38" spans="1:10" ht="15" thickBot="1" x14ac:dyDescent="0.35">
      <c r="A38" s="5">
        <v>1037</v>
      </c>
      <c r="B38" s="6">
        <v>46253</v>
      </c>
      <c r="C38" s="3" t="s">
        <v>65</v>
      </c>
      <c r="D38" s="3" t="s">
        <v>22</v>
      </c>
      <c r="E38" s="3" t="s">
        <v>23</v>
      </c>
      <c r="F38" s="3" t="s">
        <v>24</v>
      </c>
      <c r="G38" s="3">
        <v>3</v>
      </c>
      <c r="H38" s="13">
        <v>1600</v>
      </c>
      <c r="I38" s="3" t="s">
        <v>14</v>
      </c>
      <c r="J38" s="7" t="s">
        <v>16</v>
      </c>
    </row>
    <row r="39" spans="1:10" ht="15" thickBot="1" x14ac:dyDescent="0.35">
      <c r="A39" s="5">
        <v>1038</v>
      </c>
      <c r="B39" s="6">
        <v>46253</v>
      </c>
      <c r="C39" s="3" t="s">
        <v>66</v>
      </c>
      <c r="D39" s="3" t="s">
        <v>17</v>
      </c>
      <c r="E39" s="3" t="s">
        <v>28</v>
      </c>
      <c r="F39" s="3" t="s">
        <v>24</v>
      </c>
      <c r="G39" s="3">
        <v>6</v>
      </c>
      <c r="H39" s="13">
        <v>850</v>
      </c>
      <c r="I39" s="3" t="s">
        <v>25</v>
      </c>
      <c r="J39" s="7" t="s">
        <v>20</v>
      </c>
    </row>
    <row r="40" spans="1:10" ht="15" thickBot="1" x14ac:dyDescent="0.35">
      <c r="A40" s="5">
        <v>1039</v>
      </c>
      <c r="B40" s="6">
        <v>46254</v>
      </c>
      <c r="C40" s="3" t="s">
        <v>67</v>
      </c>
      <c r="D40" s="3" t="s">
        <v>38</v>
      </c>
      <c r="E40" s="3" t="s">
        <v>12</v>
      </c>
      <c r="F40" s="3" t="s">
        <v>13</v>
      </c>
      <c r="G40" s="3">
        <v>1</v>
      </c>
      <c r="H40" s="13">
        <v>61000</v>
      </c>
      <c r="I40" s="3" t="s">
        <v>19</v>
      </c>
      <c r="J40" s="7" t="s">
        <v>26</v>
      </c>
    </row>
    <row r="41" spans="1:10" ht="15" thickBot="1" x14ac:dyDescent="0.35">
      <c r="A41" s="5">
        <v>1040</v>
      </c>
      <c r="B41" s="6">
        <v>46254</v>
      </c>
      <c r="C41" s="3" t="s">
        <v>68</v>
      </c>
      <c r="D41" s="3" t="s">
        <v>30</v>
      </c>
      <c r="E41" s="3" t="s">
        <v>33</v>
      </c>
      <c r="F41" s="3" t="s">
        <v>13</v>
      </c>
      <c r="G41" s="3">
        <v>2</v>
      </c>
      <c r="H41" s="13">
        <v>12500</v>
      </c>
      <c r="I41" s="3" t="s">
        <v>14</v>
      </c>
      <c r="J41" s="7" t="s">
        <v>15</v>
      </c>
    </row>
    <row r="42" spans="1:10" ht="15" thickBot="1" x14ac:dyDescent="0.35">
      <c r="A42" s="5">
        <v>1041</v>
      </c>
      <c r="B42" s="6">
        <v>46255</v>
      </c>
      <c r="C42" s="3" t="s">
        <v>26</v>
      </c>
      <c r="D42" s="3" t="s">
        <v>11</v>
      </c>
      <c r="E42" s="3" t="s">
        <v>36</v>
      </c>
      <c r="F42" s="3" t="s">
        <v>13</v>
      </c>
      <c r="G42" s="3">
        <v>1</v>
      </c>
      <c r="H42" s="13">
        <v>9500</v>
      </c>
      <c r="I42" s="3" t="s">
        <v>19</v>
      </c>
      <c r="J42" s="7" t="s">
        <v>16</v>
      </c>
    </row>
    <row r="43" spans="1:10" ht="15" thickBot="1" x14ac:dyDescent="0.35">
      <c r="A43" s="5">
        <v>1042</v>
      </c>
      <c r="B43" s="6">
        <v>46255</v>
      </c>
      <c r="C43" s="3" t="s">
        <v>69</v>
      </c>
      <c r="D43" s="3" t="s">
        <v>22</v>
      </c>
      <c r="E43" s="3" t="s">
        <v>31</v>
      </c>
      <c r="F43" s="3" t="s">
        <v>24</v>
      </c>
      <c r="G43" s="3">
        <v>5</v>
      </c>
      <c r="H43" s="13">
        <v>2400</v>
      </c>
      <c r="I43" s="3" t="s">
        <v>25</v>
      </c>
      <c r="J43" s="7" t="s">
        <v>20</v>
      </c>
    </row>
    <row r="44" spans="1:10" ht="15" thickBot="1" x14ac:dyDescent="0.35">
      <c r="A44" s="5">
        <v>1043</v>
      </c>
      <c r="B44" s="6">
        <v>46256</v>
      </c>
      <c r="C44" s="3" t="s">
        <v>70</v>
      </c>
      <c r="D44" s="3" t="s">
        <v>17</v>
      </c>
      <c r="E44" s="3" t="s">
        <v>18</v>
      </c>
      <c r="F44" s="3" t="s">
        <v>13</v>
      </c>
      <c r="G44" s="3">
        <v>2</v>
      </c>
      <c r="H44" s="13">
        <v>26000</v>
      </c>
      <c r="I44" s="3" t="s">
        <v>14</v>
      </c>
      <c r="J44" s="7" t="s">
        <v>26</v>
      </c>
    </row>
    <row r="45" spans="1:10" ht="15" thickBot="1" x14ac:dyDescent="0.35">
      <c r="A45" s="5">
        <v>1044</v>
      </c>
      <c r="B45" s="6">
        <v>46256</v>
      </c>
      <c r="C45" s="3" t="s">
        <v>71</v>
      </c>
      <c r="D45" s="3" t="s">
        <v>38</v>
      </c>
      <c r="E45" s="3" t="s">
        <v>23</v>
      </c>
      <c r="F45" s="3" t="s">
        <v>24</v>
      </c>
      <c r="G45" s="3">
        <v>4</v>
      </c>
      <c r="H45" s="13">
        <v>1250</v>
      </c>
      <c r="I45" s="3" t="s">
        <v>19</v>
      </c>
      <c r="J45" s="7" t="s">
        <v>15</v>
      </c>
    </row>
    <row r="46" spans="1:10" ht="15" thickBot="1" x14ac:dyDescent="0.35">
      <c r="A46" s="5">
        <v>1045</v>
      </c>
      <c r="B46" s="6">
        <v>46257</v>
      </c>
      <c r="C46" s="3" t="s">
        <v>72</v>
      </c>
      <c r="D46" s="3" t="s">
        <v>30</v>
      </c>
      <c r="E46" s="3" t="s">
        <v>28</v>
      </c>
      <c r="F46" s="3" t="s">
        <v>24</v>
      </c>
      <c r="G46" s="3">
        <v>3</v>
      </c>
      <c r="H46" s="13">
        <v>950</v>
      </c>
      <c r="I46" s="3" t="s">
        <v>14</v>
      </c>
      <c r="J46" s="7" t="s">
        <v>16</v>
      </c>
    </row>
    <row r="47" spans="1:10" ht="15" thickBot="1" x14ac:dyDescent="0.35">
      <c r="A47" s="5">
        <v>1046</v>
      </c>
      <c r="B47" s="6">
        <v>46257</v>
      </c>
      <c r="C47" s="3" t="s">
        <v>73</v>
      </c>
      <c r="D47" s="3" t="s">
        <v>11</v>
      </c>
      <c r="E47" s="3" t="s">
        <v>12</v>
      </c>
      <c r="F47" s="3" t="s">
        <v>13</v>
      </c>
      <c r="G47" s="3">
        <v>2</v>
      </c>
      <c r="H47" s="13">
        <v>59000</v>
      </c>
      <c r="I47" s="3" t="s">
        <v>25</v>
      </c>
      <c r="J47" s="7" t="s">
        <v>20</v>
      </c>
    </row>
    <row r="48" spans="1:10" ht="15" thickBot="1" x14ac:dyDescent="0.35">
      <c r="A48" s="5">
        <v>1047</v>
      </c>
      <c r="B48" s="6">
        <v>46258</v>
      </c>
      <c r="C48" s="3" t="s">
        <v>74</v>
      </c>
      <c r="D48" s="3" t="s">
        <v>22</v>
      </c>
      <c r="E48" s="3" t="s">
        <v>33</v>
      </c>
      <c r="F48" s="3" t="s">
        <v>13</v>
      </c>
      <c r="G48" s="3">
        <v>3</v>
      </c>
      <c r="H48" s="13">
        <v>14000</v>
      </c>
      <c r="I48" s="3" t="s">
        <v>19</v>
      </c>
      <c r="J48" s="7" t="s">
        <v>26</v>
      </c>
    </row>
    <row r="49" spans="1:10" ht="15" thickBot="1" x14ac:dyDescent="0.35">
      <c r="A49" s="5">
        <v>1048</v>
      </c>
      <c r="B49" s="6">
        <v>46258</v>
      </c>
      <c r="C49" s="3" t="s">
        <v>75</v>
      </c>
      <c r="D49" s="3" t="s">
        <v>17</v>
      </c>
      <c r="E49" s="3" t="s">
        <v>36</v>
      </c>
      <c r="F49" s="3" t="s">
        <v>13</v>
      </c>
      <c r="G49" s="3">
        <v>2</v>
      </c>
      <c r="H49" s="13">
        <v>9200</v>
      </c>
      <c r="I49" s="3" t="s">
        <v>14</v>
      </c>
      <c r="J49" s="7" t="s">
        <v>15</v>
      </c>
    </row>
    <row r="50" spans="1:10" ht="15" thickBot="1" x14ac:dyDescent="0.35">
      <c r="A50" s="5">
        <v>1049</v>
      </c>
      <c r="B50" s="6">
        <v>46259</v>
      </c>
      <c r="C50" s="3" t="s">
        <v>76</v>
      </c>
      <c r="D50" s="3" t="s">
        <v>38</v>
      </c>
      <c r="E50" s="3" t="s">
        <v>18</v>
      </c>
      <c r="F50" s="3" t="s">
        <v>13</v>
      </c>
      <c r="G50" s="3">
        <v>3</v>
      </c>
      <c r="H50" s="13">
        <v>20000</v>
      </c>
      <c r="I50" s="3" t="s">
        <v>19</v>
      </c>
      <c r="J50" s="7" t="s">
        <v>16</v>
      </c>
    </row>
    <row r="51" spans="1:10" ht="15" thickBot="1" x14ac:dyDescent="0.35">
      <c r="A51" s="8">
        <v>1050</v>
      </c>
      <c r="B51" s="9">
        <v>46259</v>
      </c>
      <c r="C51" s="10" t="s">
        <v>77</v>
      </c>
      <c r="D51" s="10" t="s">
        <v>30</v>
      </c>
      <c r="E51" s="10" t="s">
        <v>31</v>
      </c>
      <c r="F51" s="10" t="s">
        <v>24</v>
      </c>
      <c r="G51" s="10">
        <v>4</v>
      </c>
      <c r="H51" s="14">
        <v>2700</v>
      </c>
      <c r="I51" s="10" t="s">
        <v>25</v>
      </c>
      <c r="J51" s="11" t="s">
        <v>20</v>
      </c>
    </row>
    <row r="52" spans="1:10" ht="15" thickTop="1"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EDD74-DC08-493C-B228-4AF3EA9386B4}">
  <dimension ref="A1:N52"/>
  <sheetViews>
    <sheetView workbookViewId="0">
      <selection activeCell="M12" sqref="M12"/>
    </sheetView>
  </sheetViews>
  <sheetFormatPr defaultRowHeight="14.4" x14ac:dyDescent="0.3"/>
  <cols>
    <col min="1" max="1" width="7.5546875" bestFit="1" customWidth="1"/>
    <col min="2" max="2" width="10.33203125" bestFit="1" customWidth="1"/>
    <col min="3" max="3" width="9.109375" bestFit="1" customWidth="1"/>
    <col min="4" max="4" width="8.21875" bestFit="1" customWidth="1"/>
    <col min="5" max="5" width="11.109375" bestFit="1" customWidth="1"/>
    <col min="6" max="6" width="10.44140625" bestFit="1" customWidth="1"/>
    <col min="7" max="7" width="8.33203125" bestFit="1" customWidth="1"/>
    <col min="8" max="8" width="11.44140625" bestFit="1" customWidth="1"/>
    <col min="9" max="9" width="13.6640625" bestFit="1" customWidth="1"/>
    <col min="10" max="10" width="11" bestFit="1" customWidth="1"/>
    <col min="11" max="11" width="14.5546875" customWidth="1"/>
    <col min="13" max="13" width="11.88671875" bestFit="1" customWidth="1"/>
    <col min="14" max="14" width="18.88671875" customWidth="1"/>
  </cols>
  <sheetData>
    <row r="1" spans="1:14" ht="15.6" thickTop="1" thickBot="1" x14ac:dyDescent="0.35">
      <c r="A1" s="4" t="s">
        <v>0</v>
      </c>
      <c r="B1" s="1" t="s">
        <v>1</v>
      </c>
      <c r="C1" s="1" t="s">
        <v>2</v>
      </c>
      <c r="D1" s="1" t="s">
        <v>3</v>
      </c>
      <c r="E1" s="1" t="s">
        <v>4</v>
      </c>
      <c r="F1" s="1" t="s">
        <v>5</v>
      </c>
      <c r="G1" s="1" t="s">
        <v>6</v>
      </c>
      <c r="H1" s="12" t="s">
        <v>7</v>
      </c>
      <c r="I1" s="1" t="s">
        <v>8</v>
      </c>
      <c r="J1" s="1" t="s">
        <v>9</v>
      </c>
      <c r="K1" s="2" t="s">
        <v>82</v>
      </c>
    </row>
    <row r="2" spans="1:14" ht="15" thickBot="1" x14ac:dyDescent="0.35">
      <c r="A2" s="5">
        <v>1001</v>
      </c>
      <c r="B2" s="6">
        <v>46235</v>
      </c>
      <c r="C2" s="3" t="s">
        <v>10</v>
      </c>
      <c r="D2" s="3" t="s">
        <v>11</v>
      </c>
      <c r="E2" s="3" t="s">
        <v>12</v>
      </c>
      <c r="F2" s="3" t="s">
        <v>13</v>
      </c>
      <c r="G2" s="3">
        <v>2</v>
      </c>
      <c r="H2" s="13">
        <v>55000</v>
      </c>
      <c r="I2" s="3" t="s">
        <v>14</v>
      </c>
      <c r="J2" s="3" t="s">
        <v>15</v>
      </c>
      <c r="K2" s="16">
        <f>G2*H2</f>
        <v>110000</v>
      </c>
    </row>
    <row r="3" spans="1:14" ht="15" thickBot="1" x14ac:dyDescent="0.35">
      <c r="A3" s="5">
        <v>1002</v>
      </c>
      <c r="B3" s="6">
        <v>46235</v>
      </c>
      <c r="C3" s="3" t="s">
        <v>16</v>
      </c>
      <c r="D3" s="3" t="s">
        <v>17</v>
      </c>
      <c r="E3" s="3" t="s">
        <v>18</v>
      </c>
      <c r="F3" s="3" t="s">
        <v>13</v>
      </c>
      <c r="G3" s="3">
        <v>3</v>
      </c>
      <c r="H3" s="13">
        <v>22000</v>
      </c>
      <c r="I3" s="3" t="s">
        <v>19</v>
      </c>
      <c r="J3" s="3" t="s">
        <v>20</v>
      </c>
      <c r="K3" s="16">
        <f t="shared" ref="K3:K51" si="0">G3*H3</f>
        <v>66000</v>
      </c>
    </row>
    <row r="4" spans="1:14" ht="15.6" thickTop="1" thickBot="1" x14ac:dyDescent="0.35">
      <c r="A4" s="5">
        <v>1003</v>
      </c>
      <c r="B4" s="6">
        <v>46236</v>
      </c>
      <c r="C4" s="3" t="s">
        <v>21</v>
      </c>
      <c r="D4" s="3" t="s">
        <v>22</v>
      </c>
      <c r="E4" s="3" t="s">
        <v>23</v>
      </c>
      <c r="F4" s="3" t="s">
        <v>24</v>
      </c>
      <c r="G4" s="3">
        <v>5</v>
      </c>
      <c r="H4" s="13">
        <v>1200</v>
      </c>
      <c r="I4" s="3" t="s">
        <v>25</v>
      </c>
      <c r="J4" s="3" t="s">
        <v>26</v>
      </c>
      <c r="K4" s="16">
        <f t="shared" si="0"/>
        <v>6000</v>
      </c>
      <c r="M4" s="18" t="s">
        <v>79</v>
      </c>
      <c r="N4" s="20">
        <f>MAX(K2:K51)</f>
        <v>120000</v>
      </c>
    </row>
    <row r="5" spans="1:14" ht="15" thickBot="1" x14ac:dyDescent="0.35">
      <c r="A5" s="5">
        <v>1004</v>
      </c>
      <c r="B5" s="6">
        <v>46236</v>
      </c>
      <c r="C5" s="3" t="s">
        <v>27</v>
      </c>
      <c r="D5" s="3" t="s">
        <v>11</v>
      </c>
      <c r="E5" s="3" t="s">
        <v>28</v>
      </c>
      <c r="F5" s="3" t="s">
        <v>24</v>
      </c>
      <c r="G5" s="3">
        <v>4</v>
      </c>
      <c r="H5" s="13">
        <v>800</v>
      </c>
      <c r="I5" s="3" t="s">
        <v>14</v>
      </c>
      <c r="J5" s="3" t="s">
        <v>15</v>
      </c>
      <c r="K5" s="16">
        <f t="shared" si="0"/>
        <v>3200</v>
      </c>
      <c r="M5" s="19" t="s">
        <v>80</v>
      </c>
      <c r="N5" s="21">
        <f>MIN(K2:K51)</f>
        <v>2850</v>
      </c>
    </row>
    <row r="6" spans="1:14" ht="15" thickBot="1" x14ac:dyDescent="0.35">
      <c r="A6" s="5">
        <v>1005</v>
      </c>
      <c r="B6" s="6">
        <v>46237</v>
      </c>
      <c r="C6" s="3" t="s">
        <v>29</v>
      </c>
      <c r="D6" s="3" t="s">
        <v>30</v>
      </c>
      <c r="E6" s="3" t="s">
        <v>31</v>
      </c>
      <c r="F6" s="3" t="s">
        <v>24</v>
      </c>
      <c r="G6" s="3">
        <v>2</v>
      </c>
      <c r="H6" s="13">
        <v>2500</v>
      </c>
      <c r="I6" s="3" t="s">
        <v>19</v>
      </c>
      <c r="J6" s="3" t="s">
        <v>16</v>
      </c>
      <c r="K6" s="16">
        <f t="shared" si="0"/>
        <v>5000</v>
      </c>
      <c r="M6" s="22" t="s">
        <v>81</v>
      </c>
      <c r="N6" s="21">
        <f>AVERAGE(K2:K51)</f>
        <v>31568</v>
      </c>
    </row>
    <row r="7" spans="1:14" ht="15" thickBot="1" x14ac:dyDescent="0.35">
      <c r="A7" s="5">
        <v>1006</v>
      </c>
      <c r="B7" s="6">
        <v>46237</v>
      </c>
      <c r="C7" s="3" t="s">
        <v>32</v>
      </c>
      <c r="D7" s="3" t="s">
        <v>22</v>
      </c>
      <c r="E7" s="3" t="s">
        <v>33</v>
      </c>
      <c r="F7" s="3" t="s">
        <v>13</v>
      </c>
      <c r="G7" s="3">
        <v>2</v>
      </c>
      <c r="H7" s="13">
        <v>15000</v>
      </c>
      <c r="I7" s="3" t="s">
        <v>14</v>
      </c>
      <c r="J7" s="3" t="s">
        <v>20</v>
      </c>
      <c r="K7" s="16">
        <f t="shared" si="0"/>
        <v>30000</v>
      </c>
      <c r="M7" s="23" t="s">
        <v>83</v>
      </c>
      <c r="N7" s="24">
        <f>SUM(K2:K54)</f>
        <v>1578400</v>
      </c>
    </row>
    <row r="8" spans="1:14" ht="15" thickBot="1" x14ac:dyDescent="0.35">
      <c r="A8" s="5">
        <v>1007</v>
      </c>
      <c r="B8" s="6">
        <v>46238</v>
      </c>
      <c r="C8" s="3" t="s">
        <v>34</v>
      </c>
      <c r="D8" s="3" t="s">
        <v>17</v>
      </c>
      <c r="E8" s="3" t="s">
        <v>12</v>
      </c>
      <c r="F8" s="3" t="s">
        <v>13</v>
      </c>
      <c r="G8" s="3">
        <v>1</v>
      </c>
      <c r="H8" s="13">
        <v>62000</v>
      </c>
      <c r="I8" s="3" t="s">
        <v>19</v>
      </c>
      <c r="J8" s="3" t="s">
        <v>26</v>
      </c>
      <c r="K8" s="16">
        <f t="shared" si="0"/>
        <v>62000</v>
      </c>
    </row>
    <row r="9" spans="1:14" ht="15" thickBot="1" x14ac:dyDescent="0.35">
      <c r="A9" s="5">
        <v>1008</v>
      </c>
      <c r="B9" s="6">
        <v>46238</v>
      </c>
      <c r="C9" s="3" t="s">
        <v>35</v>
      </c>
      <c r="D9" s="3" t="s">
        <v>11</v>
      </c>
      <c r="E9" s="3" t="s">
        <v>36</v>
      </c>
      <c r="F9" s="3" t="s">
        <v>13</v>
      </c>
      <c r="G9" s="3">
        <v>2</v>
      </c>
      <c r="H9" s="13">
        <v>9500</v>
      </c>
      <c r="I9" s="3" t="s">
        <v>25</v>
      </c>
      <c r="J9" s="3" t="s">
        <v>15</v>
      </c>
      <c r="K9" s="16">
        <f t="shared" si="0"/>
        <v>19000</v>
      </c>
    </row>
    <row r="10" spans="1:14" ht="15" thickBot="1" x14ac:dyDescent="0.35">
      <c r="A10" s="5">
        <v>1009</v>
      </c>
      <c r="B10" s="6">
        <v>46239</v>
      </c>
      <c r="C10" s="3" t="s">
        <v>37</v>
      </c>
      <c r="D10" s="3" t="s">
        <v>38</v>
      </c>
      <c r="E10" s="3" t="s">
        <v>78</v>
      </c>
      <c r="F10" s="3" t="s">
        <v>13</v>
      </c>
      <c r="G10" s="3">
        <v>2</v>
      </c>
      <c r="H10" s="13">
        <v>18000</v>
      </c>
      <c r="I10" s="3" t="s">
        <v>14</v>
      </c>
      <c r="J10" s="3" t="s">
        <v>16</v>
      </c>
      <c r="K10" s="16">
        <f t="shared" si="0"/>
        <v>36000</v>
      </c>
    </row>
    <row r="11" spans="1:14" ht="15" thickBot="1" x14ac:dyDescent="0.35">
      <c r="A11" s="5">
        <v>1010</v>
      </c>
      <c r="B11" s="6">
        <v>46239</v>
      </c>
      <c r="C11" s="3" t="s">
        <v>39</v>
      </c>
      <c r="D11" s="3" t="s">
        <v>30</v>
      </c>
      <c r="E11" s="3" t="s">
        <v>23</v>
      </c>
      <c r="F11" s="3" t="s">
        <v>24</v>
      </c>
      <c r="G11" s="3">
        <v>3</v>
      </c>
      <c r="H11" s="13">
        <v>1500</v>
      </c>
      <c r="I11" s="3" t="s">
        <v>19</v>
      </c>
      <c r="J11" s="3" t="s">
        <v>20</v>
      </c>
      <c r="K11" s="16">
        <f t="shared" si="0"/>
        <v>4500</v>
      </c>
    </row>
    <row r="12" spans="1:14" ht="15" thickBot="1" x14ac:dyDescent="0.35">
      <c r="A12" s="5">
        <v>1011</v>
      </c>
      <c r="B12" s="6">
        <v>46240</v>
      </c>
      <c r="C12" s="3" t="s">
        <v>40</v>
      </c>
      <c r="D12" s="3" t="s">
        <v>11</v>
      </c>
      <c r="E12" s="3" t="s">
        <v>28</v>
      </c>
      <c r="F12" s="3" t="s">
        <v>24</v>
      </c>
      <c r="G12" s="3">
        <v>6</v>
      </c>
      <c r="H12" s="13">
        <v>700</v>
      </c>
      <c r="I12" s="3" t="s">
        <v>14</v>
      </c>
      <c r="J12" s="3" t="s">
        <v>26</v>
      </c>
      <c r="K12" s="16">
        <f t="shared" si="0"/>
        <v>4200</v>
      </c>
    </row>
    <row r="13" spans="1:14" ht="15" thickBot="1" x14ac:dyDescent="0.35">
      <c r="A13" s="5">
        <v>1012</v>
      </c>
      <c r="B13" s="6">
        <v>46240</v>
      </c>
      <c r="C13" s="3" t="s">
        <v>41</v>
      </c>
      <c r="D13" s="3" t="s">
        <v>22</v>
      </c>
      <c r="E13" s="3" t="s">
        <v>12</v>
      </c>
      <c r="F13" s="3" t="s">
        <v>13</v>
      </c>
      <c r="G13" s="3">
        <v>1</v>
      </c>
      <c r="H13" s="13">
        <v>58000</v>
      </c>
      <c r="I13" s="3" t="s">
        <v>19</v>
      </c>
      <c r="J13" s="3" t="s">
        <v>15</v>
      </c>
      <c r="K13" s="16">
        <f t="shared" si="0"/>
        <v>58000</v>
      </c>
    </row>
    <row r="14" spans="1:14" ht="15" thickBot="1" x14ac:dyDescent="0.35">
      <c r="A14" s="5">
        <v>1013</v>
      </c>
      <c r="B14" s="6">
        <v>46241</v>
      </c>
      <c r="C14" s="3" t="s">
        <v>42</v>
      </c>
      <c r="D14" s="3" t="s">
        <v>17</v>
      </c>
      <c r="E14" s="3" t="s">
        <v>33</v>
      </c>
      <c r="F14" s="3" t="s">
        <v>13</v>
      </c>
      <c r="G14" s="3">
        <v>3</v>
      </c>
      <c r="H14" s="13">
        <v>13500</v>
      </c>
      <c r="I14" s="3" t="s">
        <v>14</v>
      </c>
      <c r="J14" s="3" t="s">
        <v>16</v>
      </c>
      <c r="K14" s="16">
        <f t="shared" si="0"/>
        <v>40500</v>
      </c>
    </row>
    <row r="15" spans="1:14" ht="15" thickBot="1" x14ac:dyDescent="0.35">
      <c r="A15" s="5">
        <v>1014</v>
      </c>
      <c r="B15" s="6">
        <v>46241</v>
      </c>
      <c r="C15" s="3" t="s">
        <v>43</v>
      </c>
      <c r="D15" s="3" t="s">
        <v>38</v>
      </c>
      <c r="E15" s="3" t="s">
        <v>31</v>
      </c>
      <c r="F15" s="3" t="s">
        <v>24</v>
      </c>
      <c r="G15" s="3">
        <v>4</v>
      </c>
      <c r="H15" s="13">
        <v>2200</v>
      </c>
      <c r="I15" s="3" t="s">
        <v>25</v>
      </c>
      <c r="J15" s="3" t="s">
        <v>20</v>
      </c>
      <c r="K15" s="16">
        <f t="shared" si="0"/>
        <v>8800</v>
      </c>
    </row>
    <row r="16" spans="1:14" ht="15" thickBot="1" x14ac:dyDescent="0.35">
      <c r="A16" s="5">
        <v>1015</v>
      </c>
      <c r="B16" s="6">
        <v>46242</v>
      </c>
      <c r="C16" s="3" t="s">
        <v>44</v>
      </c>
      <c r="D16" s="3" t="s">
        <v>30</v>
      </c>
      <c r="E16" s="3" t="s">
        <v>36</v>
      </c>
      <c r="F16" s="3" t="s">
        <v>13</v>
      </c>
      <c r="G16" s="3">
        <v>1</v>
      </c>
      <c r="H16" s="13">
        <v>11000</v>
      </c>
      <c r="I16" s="3" t="s">
        <v>19</v>
      </c>
      <c r="J16" s="3" t="s">
        <v>26</v>
      </c>
      <c r="K16" s="16">
        <f t="shared" si="0"/>
        <v>11000</v>
      </c>
    </row>
    <row r="17" spans="1:11" ht="15" thickBot="1" x14ac:dyDescent="0.35">
      <c r="A17" s="5">
        <v>1016</v>
      </c>
      <c r="B17" s="6">
        <v>46242</v>
      </c>
      <c r="C17" s="3" t="s">
        <v>45</v>
      </c>
      <c r="D17" s="3" t="s">
        <v>11</v>
      </c>
      <c r="E17" s="3" t="s">
        <v>18</v>
      </c>
      <c r="F17" s="3" t="s">
        <v>13</v>
      </c>
      <c r="G17" s="3">
        <v>3</v>
      </c>
      <c r="H17" s="13">
        <v>25000</v>
      </c>
      <c r="I17" s="3" t="s">
        <v>14</v>
      </c>
      <c r="J17" s="3" t="s">
        <v>15</v>
      </c>
      <c r="K17" s="16">
        <f t="shared" si="0"/>
        <v>75000</v>
      </c>
    </row>
    <row r="18" spans="1:11" ht="15" thickBot="1" x14ac:dyDescent="0.35">
      <c r="A18" s="5">
        <v>1017</v>
      </c>
      <c r="B18" s="6">
        <v>46243</v>
      </c>
      <c r="C18" s="3" t="s">
        <v>46</v>
      </c>
      <c r="D18" s="3" t="s">
        <v>22</v>
      </c>
      <c r="E18" s="3" t="s">
        <v>23</v>
      </c>
      <c r="F18" s="3" t="s">
        <v>24</v>
      </c>
      <c r="G18" s="3">
        <v>5</v>
      </c>
      <c r="H18" s="13">
        <v>1300</v>
      </c>
      <c r="I18" s="3" t="s">
        <v>25</v>
      </c>
      <c r="J18" s="3" t="s">
        <v>16</v>
      </c>
      <c r="K18" s="16">
        <f t="shared" si="0"/>
        <v>6500</v>
      </c>
    </row>
    <row r="19" spans="1:11" ht="15" thickBot="1" x14ac:dyDescent="0.35">
      <c r="A19" s="5">
        <v>1018</v>
      </c>
      <c r="B19" s="6">
        <v>46243</v>
      </c>
      <c r="C19" s="3" t="s">
        <v>47</v>
      </c>
      <c r="D19" s="3" t="s">
        <v>17</v>
      </c>
      <c r="E19" s="3" t="s">
        <v>28</v>
      </c>
      <c r="F19" s="3" t="s">
        <v>24</v>
      </c>
      <c r="G19" s="3">
        <v>8</v>
      </c>
      <c r="H19" s="13">
        <v>650</v>
      </c>
      <c r="I19" s="3" t="s">
        <v>19</v>
      </c>
      <c r="J19" s="3" t="s">
        <v>20</v>
      </c>
      <c r="K19" s="16">
        <f t="shared" si="0"/>
        <v>5200</v>
      </c>
    </row>
    <row r="20" spans="1:11" ht="15" thickBot="1" x14ac:dyDescent="0.35">
      <c r="A20" s="5">
        <v>1019</v>
      </c>
      <c r="B20" s="6">
        <v>46244</v>
      </c>
      <c r="C20" s="3" t="s">
        <v>20</v>
      </c>
      <c r="D20" s="3" t="s">
        <v>38</v>
      </c>
      <c r="E20" s="3" t="s">
        <v>12</v>
      </c>
      <c r="F20" s="3" t="s">
        <v>13</v>
      </c>
      <c r="G20" s="3">
        <v>2</v>
      </c>
      <c r="H20" s="13">
        <v>60000</v>
      </c>
      <c r="I20" s="3" t="s">
        <v>14</v>
      </c>
      <c r="J20" s="3" t="s">
        <v>26</v>
      </c>
      <c r="K20" s="16">
        <f t="shared" si="0"/>
        <v>120000</v>
      </c>
    </row>
    <row r="21" spans="1:11" ht="15" thickBot="1" x14ac:dyDescent="0.35">
      <c r="A21" s="5">
        <v>1020</v>
      </c>
      <c r="B21" s="6">
        <v>46244</v>
      </c>
      <c r="C21" s="3" t="s">
        <v>48</v>
      </c>
      <c r="D21" s="3" t="s">
        <v>30</v>
      </c>
      <c r="E21" s="3" t="s">
        <v>33</v>
      </c>
      <c r="F21" s="3" t="s">
        <v>13</v>
      </c>
      <c r="G21" s="3">
        <v>1</v>
      </c>
      <c r="H21" s="13">
        <v>16000</v>
      </c>
      <c r="I21" s="3" t="s">
        <v>19</v>
      </c>
      <c r="J21" s="3" t="s">
        <v>15</v>
      </c>
      <c r="K21" s="16">
        <f t="shared" si="0"/>
        <v>16000</v>
      </c>
    </row>
    <row r="22" spans="1:11" ht="15" thickBot="1" x14ac:dyDescent="0.35">
      <c r="A22" s="5">
        <v>1021</v>
      </c>
      <c r="B22" s="6">
        <v>46245</v>
      </c>
      <c r="C22" s="3" t="s">
        <v>49</v>
      </c>
      <c r="D22" s="3" t="s">
        <v>11</v>
      </c>
      <c r="E22" s="3" t="s">
        <v>36</v>
      </c>
      <c r="F22" s="3" t="s">
        <v>13</v>
      </c>
      <c r="G22" s="3">
        <v>2</v>
      </c>
      <c r="H22" s="13">
        <v>9000</v>
      </c>
      <c r="I22" s="3" t="s">
        <v>14</v>
      </c>
      <c r="J22" s="3" t="s">
        <v>16</v>
      </c>
      <c r="K22" s="16">
        <f t="shared" si="0"/>
        <v>18000</v>
      </c>
    </row>
    <row r="23" spans="1:11" ht="15" thickBot="1" x14ac:dyDescent="0.35">
      <c r="A23" s="5">
        <v>1022</v>
      </c>
      <c r="B23" s="6">
        <v>46245</v>
      </c>
      <c r="C23" s="3" t="s">
        <v>50</v>
      </c>
      <c r="D23" s="3" t="s">
        <v>22</v>
      </c>
      <c r="E23" s="3" t="s">
        <v>31</v>
      </c>
      <c r="F23" s="3" t="s">
        <v>24</v>
      </c>
      <c r="G23" s="3">
        <v>3</v>
      </c>
      <c r="H23" s="13">
        <v>2800</v>
      </c>
      <c r="I23" s="3" t="s">
        <v>25</v>
      </c>
      <c r="J23" s="3" t="s">
        <v>20</v>
      </c>
      <c r="K23" s="16">
        <f t="shared" si="0"/>
        <v>8400</v>
      </c>
    </row>
    <row r="24" spans="1:11" ht="15" thickBot="1" x14ac:dyDescent="0.35">
      <c r="A24" s="5">
        <v>1023</v>
      </c>
      <c r="B24" s="6">
        <v>46246</v>
      </c>
      <c r="C24" s="3" t="s">
        <v>51</v>
      </c>
      <c r="D24" s="3" t="s">
        <v>17</v>
      </c>
      <c r="E24" s="3" t="s">
        <v>18</v>
      </c>
      <c r="F24" s="3" t="s">
        <v>13</v>
      </c>
      <c r="G24" s="3">
        <v>2</v>
      </c>
      <c r="H24" s="13">
        <v>21000</v>
      </c>
      <c r="I24" s="3" t="s">
        <v>19</v>
      </c>
      <c r="J24" s="3" t="s">
        <v>26</v>
      </c>
      <c r="K24" s="16">
        <f t="shared" si="0"/>
        <v>42000</v>
      </c>
    </row>
    <row r="25" spans="1:11" ht="15" thickBot="1" x14ac:dyDescent="0.35">
      <c r="A25" s="5">
        <v>1024</v>
      </c>
      <c r="B25" s="6">
        <v>46246</v>
      </c>
      <c r="C25" s="3" t="s">
        <v>52</v>
      </c>
      <c r="D25" s="3" t="s">
        <v>38</v>
      </c>
      <c r="E25" s="3" t="s">
        <v>23</v>
      </c>
      <c r="F25" s="3" t="s">
        <v>24</v>
      </c>
      <c r="G25" s="3">
        <v>4</v>
      </c>
      <c r="H25" s="13">
        <v>1400</v>
      </c>
      <c r="I25" s="3" t="s">
        <v>14</v>
      </c>
      <c r="J25" s="3" t="s">
        <v>15</v>
      </c>
      <c r="K25" s="16">
        <f t="shared" si="0"/>
        <v>5600</v>
      </c>
    </row>
    <row r="26" spans="1:11" ht="15" thickBot="1" x14ac:dyDescent="0.35">
      <c r="A26" s="5">
        <v>1025</v>
      </c>
      <c r="B26" s="6">
        <v>46247</v>
      </c>
      <c r="C26" s="3" t="s">
        <v>53</v>
      </c>
      <c r="D26" s="3" t="s">
        <v>30</v>
      </c>
      <c r="E26" s="3" t="s">
        <v>28</v>
      </c>
      <c r="F26" s="3" t="s">
        <v>24</v>
      </c>
      <c r="G26" s="3">
        <v>5</v>
      </c>
      <c r="H26" s="13">
        <v>750</v>
      </c>
      <c r="I26" s="3" t="s">
        <v>25</v>
      </c>
      <c r="J26" s="3" t="s">
        <v>16</v>
      </c>
      <c r="K26" s="16">
        <f t="shared" si="0"/>
        <v>3750</v>
      </c>
    </row>
    <row r="27" spans="1:11" ht="15" thickBot="1" x14ac:dyDescent="0.35">
      <c r="A27" s="5">
        <v>1026</v>
      </c>
      <c r="B27" s="6">
        <v>46247</v>
      </c>
      <c r="C27" s="3" t="s">
        <v>54</v>
      </c>
      <c r="D27" s="3" t="s">
        <v>11</v>
      </c>
      <c r="E27" s="3" t="s">
        <v>12</v>
      </c>
      <c r="F27" s="3" t="s">
        <v>13</v>
      </c>
      <c r="G27" s="3">
        <v>1</v>
      </c>
      <c r="H27" s="13">
        <v>65000</v>
      </c>
      <c r="I27" s="3" t="s">
        <v>19</v>
      </c>
      <c r="J27" s="3" t="s">
        <v>20</v>
      </c>
      <c r="K27" s="16">
        <f t="shared" si="0"/>
        <v>65000</v>
      </c>
    </row>
    <row r="28" spans="1:11" ht="15" thickBot="1" x14ac:dyDescent="0.35">
      <c r="A28" s="5">
        <v>1027</v>
      </c>
      <c r="B28" s="6">
        <v>46248</v>
      </c>
      <c r="C28" s="3" t="s">
        <v>55</v>
      </c>
      <c r="D28" s="3" t="s">
        <v>22</v>
      </c>
      <c r="E28" s="3" t="s">
        <v>33</v>
      </c>
      <c r="F28" s="3" t="s">
        <v>13</v>
      </c>
      <c r="G28" s="3">
        <v>2</v>
      </c>
      <c r="H28" s="13">
        <v>14500</v>
      </c>
      <c r="I28" s="3" t="s">
        <v>14</v>
      </c>
      <c r="J28" s="3" t="s">
        <v>26</v>
      </c>
      <c r="K28" s="16">
        <f t="shared" si="0"/>
        <v>29000</v>
      </c>
    </row>
    <row r="29" spans="1:11" ht="15" thickBot="1" x14ac:dyDescent="0.35">
      <c r="A29" s="5">
        <v>1028</v>
      </c>
      <c r="B29" s="6">
        <v>46248</v>
      </c>
      <c r="C29" s="3" t="s">
        <v>56</v>
      </c>
      <c r="D29" s="3" t="s">
        <v>17</v>
      </c>
      <c r="E29" s="3" t="s">
        <v>36</v>
      </c>
      <c r="F29" s="3" t="s">
        <v>13</v>
      </c>
      <c r="G29" s="3">
        <v>3</v>
      </c>
      <c r="H29" s="13">
        <v>8500</v>
      </c>
      <c r="I29" s="3" t="s">
        <v>19</v>
      </c>
      <c r="J29" s="3" t="s">
        <v>15</v>
      </c>
      <c r="K29" s="16">
        <f t="shared" si="0"/>
        <v>25500</v>
      </c>
    </row>
    <row r="30" spans="1:11" ht="15" thickBot="1" x14ac:dyDescent="0.35">
      <c r="A30" s="5">
        <v>1029</v>
      </c>
      <c r="B30" s="6">
        <v>46249</v>
      </c>
      <c r="C30" s="3" t="s">
        <v>57</v>
      </c>
      <c r="D30" s="3" t="s">
        <v>38</v>
      </c>
      <c r="E30" s="3" t="s">
        <v>18</v>
      </c>
      <c r="F30" s="3" t="s">
        <v>13</v>
      </c>
      <c r="G30" s="3">
        <v>1</v>
      </c>
      <c r="H30" s="13">
        <v>23000</v>
      </c>
      <c r="I30" s="3" t="s">
        <v>25</v>
      </c>
      <c r="J30" s="3" t="s">
        <v>16</v>
      </c>
      <c r="K30" s="16">
        <f t="shared" si="0"/>
        <v>23000</v>
      </c>
    </row>
    <row r="31" spans="1:11" ht="15" thickBot="1" x14ac:dyDescent="0.35">
      <c r="A31" s="5">
        <v>1030</v>
      </c>
      <c r="B31" s="6">
        <v>46249</v>
      </c>
      <c r="C31" s="3" t="s">
        <v>58</v>
      </c>
      <c r="D31" s="3" t="s">
        <v>30</v>
      </c>
      <c r="E31" s="3" t="s">
        <v>31</v>
      </c>
      <c r="F31" s="3" t="s">
        <v>24</v>
      </c>
      <c r="G31" s="3">
        <v>2</v>
      </c>
      <c r="H31" s="13">
        <v>3000</v>
      </c>
      <c r="I31" s="3" t="s">
        <v>14</v>
      </c>
      <c r="J31" s="3" t="s">
        <v>20</v>
      </c>
      <c r="K31" s="16">
        <f t="shared" si="0"/>
        <v>6000</v>
      </c>
    </row>
    <row r="32" spans="1:11" ht="15" thickBot="1" x14ac:dyDescent="0.35">
      <c r="A32" s="5">
        <v>1031</v>
      </c>
      <c r="B32" s="6">
        <v>46250</v>
      </c>
      <c r="C32" s="3" t="s">
        <v>59</v>
      </c>
      <c r="D32" s="3" t="s">
        <v>11</v>
      </c>
      <c r="E32" s="3" t="s">
        <v>23</v>
      </c>
      <c r="F32" s="3" t="s">
        <v>24</v>
      </c>
      <c r="G32" s="3">
        <v>7</v>
      </c>
      <c r="H32" s="13">
        <v>1100</v>
      </c>
      <c r="I32" s="3" t="s">
        <v>19</v>
      </c>
      <c r="J32" s="3" t="s">
        <v>26</v>
      </c>
      <c r="K32" s="16">
        <f t="shared" si="0"/>
        <v>7700</v>
      </c>
    </row>
    <row r="33" spans="1:11" ht="15" thickBot="1" x14ac:dyDescent="0.35">
      <c r="A33" s="5">
        <v>1032</v>
      </c>
      <c r="B33" s="6">
        <v>46250</v>
      </c>
      <c r="C33" s="3" t="s">
        <v>60</v>
      </c>
      <c r="D33" s="3" t="s">
        <v>22</v>
      </c>
      <c r="E33" s="3" t="s">
        <v>28</v>
      </c>
      <c r="F33" s="3" t="s">
        <v>24</v>
      </c>
      <c r="G33" s="3">
        <v>4</v>
      </c>
      <c r="H33" s="13">
        <v>900</v>
      </c>
      <c r="I33" s="3" t="s">
        <v>14</v>
      </c>
      <c r="J33" s="3" t="s">
        <v>15</v>
      </c>
      <c r="K33" s="16">
        <f t="shared" si="0"/>
        <v>3600</v>
      </c>
    </row>
    <row r="34" spans="1:11" ht="15" thickBot="1" x14ac:dyDescent="0.35">
      <c r="A34" s="5">
        <v>1033</v>
      </c>
      <c r="B34" s="6">
        <v>46251</v>
      </c>
      <c r="C34" s="3" t="s">
        <v>61</v>
      </c>
      <c r="D34" s="3" t="s">
        <v>17</v>
      </c>
      <c r="E34" s="3" t="s">
        <v>12</v>
      </c>
      <c r="F34" s="3" t="s">
        <v>13</v>
      </c>
      <c r="G34" s="3">
        <v>2</v>
      </c>
      <c r="H34" s="13">
        <v>57000</v>
      </c>
      <c r="I34" s="3" t="s">
        <v>19</v>
      </c>
      <c r="J34" s="3" t="s">
        <v>16</v>
      </c>
      <c r="K34" s="16">
        <f t="shared" si="0"/>
        <v>114000</v>
      </c>
    </row>
    <row r="35" spans="1:11" ht="15" thickBot="1" x14ac:dyDescent="0.35">
      <c r="A35" s="5">
        <v>1034</v>
      </c>
      <c r="B35" s="6">
        <v>46251</v>
      </c>
      <c r="C35" s="3" t="s">
        <v>62</v>
      </c>
      <c r="D35" s="3" t="s">
        <v>38</v>
      </c>
      <c r="E35" s="3" t="s">
        <v>33</v>
      </c>
      <c r="F35" s="3" t="s">
        <v>13</v>
      </c>
      <c r="G35" s="3">
        <v>1</v>
      </c>
      <c r="H35" s="13">
        <v>15500</v>
      </c>
      <c r="I35" s="3" t="s">
        <v>25</v>
      </c>
      <c r="J35" s="3" t="s">
        <v>20</v>
      </c>
      <c r="K35" s="16">
        <f t="shared" si="0"/>
        <v>15500</v>
      </c>
    </row>
    <row r="36" spans="1:11" ht="15" thickBot="1" x14ac:dyDescent="0.35">
      <c r="A36" s="5">
        <v>1035</v>
      </c>
      <c r="B36" s="6">
        <v>46252</v>
      </c>
      <c r="C36" s="3" t="s">
        <v>63</v>
      </c>
      <c r="D36" s="3" t="s">
        <v>30</v>
      </c>
      <c r="E36" s="3" t="s">
        <v>36</v>
      </c>
      <c r="F36" s="3" t="s">
        <v>13</v>
      </c>
      <c r="G36" s="3">
        <v>2</v>
      </c>
      <c r="H36" s="13">
        <v>10000</v>
      </c>
      <c r="I36" s="3" t="s">
        <v>14</v>
      </c>
      <c r="J36" s="3" t="s">
        <v>26</v>
      </c>
      <c r="K36" s="16">
        <f t="shared" si="0"/>
        <v>20000</v>
      </c>
    </row>
    <row r="37" spans="1:11" ht="15" thickBot="1" x14ac:dyDescent="0.35">
      <c r="A37" s="5">
        <v>1036</v>
      </c>
      <c r="B37" s="6">
        <v>46252</v>
      </c>
      <c r="C37" s="3" t="s">
        <v>64</v>
      </c>
      <c r="D37" s="3" t="s">
        <v>11</v>
      </c>
      <c r="E37" s="3" t="s">
        <v>18</v>
      </c>
      <c r="F37" s="3" t="s">
        <v>13</v>
      </c>
      <c r="G37" s="3">
        <v>4</v>
      </c>
      <c r="H37" s="13">
        <v>19500</v>
      </c>
      <c r="I37" s="3" t="s">
        <v>19</v>
      </c>
      <c r="J37" s="3" t="s">
        <v>15</v>
      </c>
      <c r="K37" s="16">
        <f t="shared" si="0"/>
        <v>78000</v>
      </c>
    </row>
    <row r="38" spans="1:11" ht="15" thickBot="1" x14ac:dyDescent="0.35">
      <c r="A38" s="5">
        <v>1037</v>
      </c>
      <c r="B38" s="6">
        <v>46253</v>
      </c>
      <c r="C38" s="3" t="s">
        <v>65</v>
      </c>
      <c r="D38" s="3" t="s">
        <v>22</v>
      </c>
      <c r="E38" s="3" t="s">
        <v>23</v>
      </c>
      <c r="F38" s="3" t="s">
        <v>24</v>
      </c>
      <c r="G38" s="3">
        <v>3</v>
      </c>
      <c r="H38" s="13">
        <v>1600</v>
      </c>
      <c r="I38" s="3" t="s">
        <v>14</v>
      </c>
      <c r="J38" s="3" t="s">
        <v>16</v>
      </c>
      <c r="K38" s="16">
        <f t="shared" si="0"/>
        <v>4800</v>
      </c>
    </row>
    <row r="39" spans="1:11" ht="15" thickBot="1" x14ac:dyDescent="0.35">
      <c r="A39" s="5">
        <v>1038</v>
      </c>
      <c r="B39" s="6">
        <v>46253</v>
      </c>
      <c r="C39" s="3" t="s">
        <v>66</v>
      </c>
      <c r="D39" s="3" t="s">
        <v>17</v>
      </c>
      <c r="E39" s="3" t="s">
        <v>28</v>
      </c>
      <c r="F39" s="3" t="s">
        <v>24</v>
      </c>
      <c r="G39" s="3">
        <v>6</v>
      </c>
      <c r="H39" s="13">
        <v>850</v>
      </c>
      <c r="I39" s="3" t="s">
        <v>25</v>
      </c>
      <c r="J39" s="3" t="s">
        <v>20</v>
      </c>
      <c r="K39" s="16">
        <f t="shared" si="0"/>
        <v>5100</v>
      </c>
    </row>
    <row r="40" spans="1:11" ht="15" thickBot="1" x14ac:dyDescent="0.35">
      <c r="A40" s="5">
        <v>1039</v>
      </c>
      <c r="B40" s="6">
        <v>46254</v>
      </c>
      <c r="C40" s="3" t="s">
        <v>67</v>
      </c>
      <c r="D40" s="3" t="s">
        <v>38</v>
      </c>
      <c r="E40" s="3" t="s">
        <v>12</v>
      </c>
      <c r="F40" s="3" t="s">
        <v>13</v>
      </c>
      <c r="G40" s="3">
        <v>1</v>
      </c>
      <c r="H40" s="13">
        <v>61000</v>
      </c>
      <c r="I40" s="3" t="s">
        <v>19</v>
      </c>
      <c r="J40" s="3" t="s">
        <v>26</v>
      </c>
      <c r="K40" s="16">
        <f t="shared" si="0"/>
        <v>61000</v>
      </c>
    </row>
    <row r="41" spans="1:11" ht="15" thickBot="1" x14ac:dyDescent="0.35">
      <c r="A41" s="5">
        <v>1040</v>
      </c>
      <c r="B41" s="6">
        <v>46254</v>
      </c>
      <c r="C41" s="3" t="s">
        <v>68</v>
      </c>
      <c r="D41" s="3" t="s">
        <v>30</v>
      </c>
      <c r="E41" s="3" t="s">
        <v>33</v>
      </c>
      <c r="F41" s="3" t="s">
        <v>13</v>
      </c>
      <c r="G41" s="3">
        <v>2</v>
      </c>
      <c r="H41" s="13">
        <v>12500</v>
      </c>
      <c r="I41" s="3" t="s">
        <v>14</v>
      </c>
      <c r="J41" s="3" t="s">
        <v>15</v>
      </c>
      <c r="K41" s="16">
        <f t="shared" si="0"/>
        <v>25000</v>
      </c>
    </row>
    <row r="42" spans="1:11" ht="15" thickBot="1" x14ac:dyDescent="0.35">
      <c r="A42" s="5">
        <v>1041</v>
      </c>
      <c r="B42" s="6">
        <v>46255</v>
      </c>
      <c r="C42" s="3" t="s">
        <v>26</v>
      </c>
      <c r="D42" s="3" t="s">
        <v>11</v>
      </c>
      <c r="E42" s="3" t="s">
        <v>36</v>
      </c>
      <c r="F42" s="3" t="s">
        <v>13</v>
      </c>
      <c r="G42" s="3">
        <v>1</v>
      </c>
      <c r="H42" s="13">
        <v>9500</v>
      </c>
      <c r="I42" s="3" t="s">
        <v>19</v>
      </c>
      <c r="J42" s="3" t="s">
        <v>16</v>
      </c>
      <c r="K42" s="16">
        <f t="shared" si="0"/>
        <v>9500</v>
      </c>
    </row>
    <row r="43" spans="1:11" ht="15" thickBot="1" x14ac:dyDescent="0.35">
      <c r="A43" s="5">
        <v>1042</v>
      </c>
      <c r="B43" s="6">
        <v>46255</v>
      </c>
      <c r="C43" s="3" t="s">
        <v>69</v>
      </c>
      <c r="D43" s="3" t="s">
        <v>22</v>
      </c>
      <c r="E43" s="3" t="s">
        <v>31</v>
      </c>
      <c r="F43" s="3" t="s">
        <v>24</v>
      </c>
      <c r="G43" s="3">
        <v>5</v>
      </c>
      <c r="H43" s="13">
        <v>2400</v>
      </c>
      <c r="I43" s="3" t="s">
        <v>25</v>
      </c>
      <c r="J43" s="3" t="s">
        <v>20</v>
      </c>
      <c r="K43" s="16">
        <f t="shared" si="0"/>
        <v>12000</v>
      </c>
    </row>
    <row r="44" spans="1:11" ht="15" thickBot="1" x14ac:dyDescent="0.35">
      <c r="A44" s="5">
        <v>1043</v>
      </c>
      <c r="B44" s="6">
        <v>46256</v>
      </c>
      <c r="C44" s="3" t="s">
        <v>70</v>
      </c>
      <c r="D44" s="3" t="s">
        <v>17</v>
      </c>
      <c r="E44" s="3" t="s">
        <v>18</v>
      </c>
      <c r="F44" s="3" t="s">
        <v>13</v>
      </c>
      <c r="G44" s="3">
        <v>2</v>
      </c>
      <c r="H44" s="13">
        <v>26000</v>
      </c>
      <c r="I44" s="3" t="s">
        <v>14</v>
      </c>
      <c r="J44" s="3" t="s">
        <v>26</v>
      </c>
      <c r="K44" s="16">
        <f t="shared" si="0"/>
        <v>52000</v>
      </c>
    </row>
    <row r="45" spans="1:11" ht="15" thickBot="1" x14ac:dyDescent="0.35">
      <c r="A45" s="5">
        <v>1044</v>
      </c>
      <c r="B45" s="6">
        <v>46256</v>
      </c>
      <c r="C45" s="3" t="s">
        <v>71</v>
      </c>
      <c r="D45" s="3" t="s">
        <v>38</v>
      </c>
      <c r="E45" s="3" t="s">
        <v>23</v>
      </c>
      <c r="F45" s="3" t="s">
        <v>24</v>
      </c>
      <c r="G45" s="3">
        <v>4</v>
      </c>
      <c r="H45" s="13">
        <v>1250</v>
      </c>
      <c r="I45" s="3" t="s">
        <v>19</v>
      </c>
      <c r="J45" s="3" t="s">
        <v>15</v>
      </c>
      <c r="K45" s="16">
        <f t="shared" si="0"/>
        <v>5000</v>
      </c>
    </row>
    <row r="46" spans="1:11" ht="15" thickBot="1" x14ac:dyDescent="0.35">
      <c r="A46" s="5">
        <v>1045</v>
      </c>
      <c r="B46" s="6">
        <v>46257</v>
      </c>
      <c r="C46" s="3" t="s">
        <v>72</v>
      </c>
      <c r="D46" s="3" t="s">
        <v>30</v>
      </c>
      <c r="E46" s="3" t="s">
        <v>28</v>
      </c>
      <c r="F46" s="3" t="s">
        <v>24</v>
      </c>
      <c r="G46" s="3">
        <v>3</v>
      </c>
      <c r="H46" s="13">
        <v>950</v>
      </c>
      <c r="I46" s="3" t="s">
        <v>14</v>
      </c>
      <c r="J46" s="3" t="s">
        <v>16</v>
      </c>
      <c r="K46" s="16">
        <f t="shared" si="0"/>
        <v>2850</v>
      </c>
    </row>
    <row r="47" spans="1:11" ht="15" thickBot="1" x14ac:dyDescent="0.35">
      <c r="A47" s="5">
        <v>1046</v>
      </c>
      <c r="B47" s="6">
        <v>46257</v>
      </c>
      <c r="C47" s="3" t="s">
        <v>73</v>
      </c>
      <c r="D47" s="3" t="s">
        <v>11</v>
      </c>
      <c r="E47" s="3" t="s">
        <v>12</v>
      </c>
      <c r="F47" s="3" t="s">
        <v>13</v>
      </c>
      <c r="G47" s="3">
        <v>2</v>
      </c>
      <c r="H47" s="13">
        <v>59000</v>
      </c>
      <c r="I47" s="3" t="s">
        <v>25</v>
      </c>
      <c r="J47" s="3" t="s">
        <v>20</v>
      </c>
      <c r="K47" s="16">
        <f t="shared" si="0"/>
        <v>118000</v>
      </c>
    </row>
    <row r="48" spans="1:11" ht="15" thickBot="1" x14ac:dyDescent="0.35">
      <c r="A48" s="5">
        <v>1047</v>
      </c>
      <c r="B48" s="6">
        <v>46258</v>
      </c>
      <c r="C48" s="3" t="s">
        <v>74</v>
      </c>
      <c r="D48" s="3" t="s">
        <v>22</v>
      </c>
      <c r="E48" s="3" t="s">
        <v>33</v>
      </c>
      <c r="F48" s="3" t="s">
        <v>13</v>
      </c>
      <c r="G48" s="3">
        <v>3</v>
      </c>
      <c r="H48" s="13">
        <v>14000</v>
      </c>
      <c r="I48" s="3" t="s">
        <v>19</v>
      </c>
      <c r="J48" s="3" t="s">
        <v>26</v>
      </c>
      <c r="K48" s="16">
        <f t="shared" si="0"/>
        <v>42000</v>
      </c>
    </row>
    <row r="49" spans="1:11" ht="15" thickBot="1" x14ac:dyDescent="0.35">
      <c r="A49" s="5">
        <v>1048</v>
      </c>
      <c r="B49" s="6">
        <v>46258</v>
      </c>
      <c r="C49" s="3" t="s">
        <v>75</v>
      </c>
      <c r="D49" s="3" t="s">
        <v>17</v>
      </c>
      <c r="E49" s="3" t="s">
        <v>36</v>
      </c>
      <c r="F49" s="3" t="s">
        <v>13</v>
      </c>
      <c r="G49" s="3">
        <v>2</v>
      </c>
      <c r="H49" s="13">
        <v>9200</v>
      </c>
      <c r="I49" s="3" t="s">
        <v>14</v>
      </c>
      <c r="J49" s="3" t="s">
        <v>15</v>
      </c>
      <c r="K49" s="16">
        <f t="shared" si="0"/>
        <v>18400</v>
      </c>
    </row>
    <row r="50" spans="1:11" ht="15" thickBot="1" x14ac:dyDescent="0.35">
      <c r="A50" s="5">
        <v>1049</v>
      </c>
      <c r="B50" s="6">
        <v>46259</v>
      </c>
      <c r="C50" s="3" t="s">
        <v>76</v>
      </c>
      <c r="D50" s="3" t="s">
        <v>38</v>
      </c>
      <c r="E50" s="3" t="s">
        <v>18</v>
      </c>
      <c r="F50" s="3" t="s">
        <v>13</v>
      </c>
      <c r="G50" s="3">
        <v>3</v>
      </c>
      <c r="H50" s="13">
        <v>20000</v>
      </c>
      <c r="I50" s="3" t="s">
        <v>19</v>
      </c>
      <c r="J50" s="3" t="s">
        <v>16</v>
      </c>
      <c r="K50" s="16">
        <f t="shared" si="0"/>
        <v>60000</v>
      </c>
    </row>
    <row r="51" spans="1:11" ht="15" thickBot="1" x14ac:dyDescent="0.35">
      <c r="A51" s="8">
        <v>1050</v>
      </c>
      <c r="B51" s="9">
        <v>46259</v>
      </c>
      <c r="C51" s="10" t="s">
        <v>77</v>
      </c>
      <c r="D51" s="10" t="s">
        <v>30</v>
      </c>
      <c r="E51" s="10" t="s">
        <v>31</v>
      </c>
      <c r="F51" s="10" t="s">
        <v>24</v>
      </c>
      <c r="G51" s="10">
        <v>4</v>
      </c>
      <c r="H51" s="14">
        <v>2700</v>
      </c>
      <c r="I51" s="10" t="s">
        <v>25</v>
      </c>
      <c r="J51" s="10" t="s">
        <v>20</v>
      </c>
      <c r="K51" s="17">
        <f t="shared" si="0"/>
        <v>10800</v>
      </c>
    </row>
    <row r="52" spans="1:11" ht="15" thickTop="1"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3C4-5121-4973-ADEF-E08141134A81}">
  <dimension ref="A1:J52"/>
  <sheetViews>
    <sheetView workbookViewId="0">
      <selection activeCell="B2" sqref="B2"/>
    </sheetView>
  </sheetViews>
  <sheetFormatPr defaultRowHeight="14.4" x14ac:dyDescent="0.3"/>
  <cols>
    <col min="1" max="1" width="7.5546875" bestFit="1" customWidth="1"/>
    <col min="2" max="2" width="10.33203125" bestFit="1" customWidth="1"/>
    <col min="3" max="3" width="9.109375" bestFit="1" customWidth="1"/>
    <col min="4" max="4" width="12.5546875" customWidth="1"/>
    <col min="5" max="5" width="11.109375" bestFit="1" customWidth="1"/>
    <col min="6" max="6" width="10.44140625" bestFit="1" customWidth="1"/>
    <col min="7" max="7" width="8.33203125" bestFit="1" customWidth="1"/>
    <col min="8" max="8" width="11.44140625" bestFit="1" customWidth="1"/>
    <col min="9" max="9" width="13.6640625" bestFit="1" customWidth="1"/>
    <col min="10" max="10" width="11" bestFit="1" customWidth="1"/>
  </cols>
  <sheetData>
    <row r="1" spans="1:10" ht="15.6" thickTop="1" thickBot="1" x14ac:dyDescent="0.35">
      <c r="A1" s="4" t="s">
        <v>0</v>
      </c>
      <c r="B1" s="1" t="s">
        <v>1</v>
      </c>
      <c r="C1" s="1" t="s">
        <v>2</v>
      </c>
      <c r="D1" s="1" t="s">
        <v>3</v>
      </c>
      <c r="E1" s="1" t="s">
        <v>4</v>
      </c>
      <c r="F1" s="1" t="s">
        <v>5</v>
      </c>
      <c r="G1" s="1" t="s">
        <v>6</v>
      </c>
      <c r="H1" s="12" t="s">
        <v>7</v>
      </c>
      <c r="I1" s="1" t="s">
        <v>8</v>
      </c>
      <c r="J1" s="2" t="s">
        <v>9</v>
      </c>
    </row>
    <row r="2" spans="1:10" ht="15" thickBot="1" x14ac:dyDescent="0.35">
      <c r="A2" s="5">
        <v>1001</v>
      </c>
      <c r="B2" s="6">
        <v>46235</v>
      </c>
      <c r="C2" s="3" t="s">
        <v>10</v>
      </c>
      <c r="D2" s="3" t="s">
        <v>11</v>
      </c>
      <c r="E2" s="3" t="s">
        <v>12</v>
      </c>
      <c r="F2" s="3" t="s">
        <v>13</v>
      </c>
      <c r="G2" s="3">
        <v>2</v>
      </c>
      <c r="H2" s="13">
        <v>55000</v>
      </c>
      <c r="I2" s="3" t="s">
        <v>14</v>
      </c>
      <c r="J2" s="7" t="s">
        <v>15</v>
      </c>
    </row>
    <row r="3" spans="1:10" ht="15" thickBot="1" x14ac:dyDescent="0.35">
      <c r="A3" s="5">
        <v>1002</v>
      </c>
      <c r="B3" s="6">
        <v>46235</v>
      </c>
      <c r="C3" s="3" t="s">
        <v>16</v>
      </c>
      <c r="D3" s="3" t="s">
        <v>17</v>
      </c>
      <c r="E3" s="3" t="s">
        <v>18</v>
      </c>
      <c r="F3" s="3" t="s">
        <v>13</v>
      </c>
      <c r="G3" s="3">
        <v>3</v>
      </c>
      <c r="H3" s="13">
        <v>22000</v>
      </c>
      <c r="I3" s="3" t="s">
        <v>19</v>
      </c>
      <c r="J3" s="7" t="s">
        <v>20</v>
      </c>
    </row>
    <row r="4" spans="1:10" ht="15" thickBot="1" x14ac:dyDescent="0.35">
      <c r="A4" s="5">
        <v>1003</v>
      </c>
      <c r="B4" s="6">
        <v>46236</v>
      </c>
      <c r="C4" s="3" t="s">
        <v>21</v>
      </c>
      <c r="D4" s="3" t="s">
        <v>22</v>
      </c>
      <c r="E4" s="3" t="s">
        <v>23</v>
      </c>
      <c r="F4" s="3" t="s">
        <v>24</v>
      </c>
      <c r="G4" s="3">
        <v>5</v>
      </c>
      <c r="H4" s="13">
        <v>1200</v>
      </c>
      <c r="I4" s="3" t="s">
        <v>25</v>
      </c>
      <c r="J4" s="7" t="s">
        <v>26</v>
      </c>
    </row>
    <row r="5" spans="1:10" ht="15" thickBot="1" x14ac:dyDescent="0.35">
      <c r="A5" s="5">
        <v>1004</v>
      </c>
      <c r="B5" s="6">
        <v>46236</v>
      </c>
      <c r="C5" s="3" t="s">
        <v>27</v>
      </c>
      <c r="D5" s="3" t="s">
        <v>11</v>
      </c>
      <c r="E5" s="3" t="s">
        <v>28</v>
      </c>
      <c r="F5" s="3" t="s">
        <v>24</v>
      </c>
      <c r="G5" s="3">
        <v>4</v>
      </c>
      <c r="H5" s="13">
        <v>800</v>
      </c>
      <c r="I5" s="3" t="s">
        <v>14</v>
      </c>
      <c r="J5" s="7" t="s">
        <v>15</v>
      </c>
    </row>
    <row r="6" spans="1:10" ht="15" thickBot="1" x14ac:dyDescent="0.35">
      <c r="A6" s="5">
        <v>1005</v>
      </c>
      <c r="B6" s="6">
        <v>46237</v>
      </c>
      <c r="C6" s="3" t="s">
        <v>29</v>
      </c>
      <c r="D6" s="3" t="s">
        <v>30</v>
      </c>
      <c r="E6" s="3" t="s">
        <v>31</v>
      </c>
      <c r="F6" s="3" t="s">
        <v>24</v>
      </c>
      <c r="G6" s="3">
        <v>2</v>
      </c>
      <c r="H6" s="13">
        <v>2500</v>
      </c>
      <c r="I6" s="3" t="s">
        <v>19</v>
      </c>
      <c r="J6" s="7" t="s">
        <v>16</v>
      </c>
    </row>
    <row r="7" spans="1:10" ht="15" thickBot="1" x14ac:dyDescent="0.35">
      <c r="A7" s="5">
        <v>1006</v>
      </c>
      <c r="B7" s="6">
        <v>46237</v>
      </c>
      <c r="C7" s="3" t="s">
        <v>32</v>
      </c>
      <c r="D7" s="3" t="s">
        <v>22</v>
      </c>
      <c r="E7" s="3" t="s">
        <v>33</v>
      </c>
      <c r="F7" s="3" t="s">
        <v>13</v>
      </c>
      <c r="G7" s="3">
        <v>2</v>
      </c>
      <c r="H7" s="13">
        <v>15000</v>
      </c>
      <c r="I7" s="3" t="s">
        <v>14</v>
      </c>
      <c r="J7" s="7" t="s">
        <v>20</v>
      </c>
    </row>
    <row r="8" spans="1:10" ht="15" thickBot="1" x14ac:dyDescent="0.35">
      <c r="A8" s="5">
        <v>1007</v>
      </c>
      <c r="B8" s="6">
        <v>46238</v>
      </c>
      <c r="C8" s="3" t="s">
        <v>34</v>
      </c>
      <c r="D8" s="3" t="s">
        <v>17</v>
      </c>
      <c r="E8" s="3" t="s">
        <v>12</v>
      </c>
      <c r="F8" s="3" t="s">
        <v>13</v>
      </c>
      <c r="G8" s="3">
        <v>1</v>
      </c>
      <c r="H8" s="13">
        <v>62000</v>
      </c>
      <c r="I8" s="3" t="s">
        <v>19</v>
      </c>
      <c r="J8" s="7" t="s">
        <v>26</v>
      </c>
    </row>
    <row r="9" spans="1:10" ht="15" thickBot="1" x14ac:dyDescent="0.35">
      <c r="A9" s="5">
        <v>1008</v>
      </c>
      <c r="B9" s="6">
        <v>46238</v>
      </c>
      <c r="C9" s="3" t="s">
        <v>35</v>
      </c>
      <c r="D9" s="3" t="s">
        <v>11</v>
      </c>
      <c r="E9" s="3" t="s">
        <v>36</v>
      </c>
      <c r="F9" s="3" t="s">
        <v>13</v>
      </c>
      <c r="G9" s="3">
        <v>2</v>
      </c>
      <c r="H9" s="13">
        <v>9500</v>
      </c>
      <c r="I9" s="3" t="s">
        <v>25</v>
      </c>
      <c r="J9" s="7" t="s">
        <v>15</v>
      </c>
    </row>
    <row r="10" spans="1:10" ht="15" thickBot="1" x14ac:dyDescent="0.35">
      <c r="A10" s="5">
        <v>1009</v>
      </c>
      <c r="B10" s="6">
        <v>46239</v>
      </c>
      <c r="C10" s="3" t="s">
        <v>37</v>
      </c>
      <c r="D10" s="3" t="s">
        <v>38</v>
      </c>
      <c r="E10" s="3" t="s">
        <v>78</v>
      </c>
      <c r="F10" s="3" t="s">
        <v>13</v>
      </c>
      <c r="G10" s="3">
        <v>2</v>
      </c>
      <c r="H10" s="13">
        <v>18000</v>
      </c>
      <c r="I10" s="3" t="s">
        <v>14</v>
      </c>
      <c r="J10" s="7" t="s">
        <v>16</v>
      </c>
    </row>
    <row r="11" spans="1:10" ht="15" thickBot="1" x14ac:dyDescent="0.35">
      <c r="A11" s="5">
        <v>1010</v>
      </c>
      <c r="B11" s="6">
        <v>46239</v>
      </c>
      <c r="C11" s="3" t="s">
        <v>39</v>
      </c>
      <c r="D11" s="3" t="s">
        <v>30</v>
      </c>
      <c r="E11" s="3" t="s">
        <v>23</v>
      </c>
      <c r="F11" s="3" t="s">
        <v>24</v>
      </c>
      <c r="G11" s="3">
        <v>3</v>
      </c>
      <c r="H11" s="13">
        <v>1500</v>
      </c>
      <c r="I11" s="3" t="s">
        <v>19</v>
      </c>
      <c r="J11" s="7" t="s">
        <v>20</v>
      </c>
    </row>
    <row r="12" spans="1:10" ht="15" thickBot="1" x14ac:dyDescent="0.35">
      <c r="A12" s="5">
        <v>1011</v>
      </c>
      <c r="B12" s="6">
        <v>46240</v>
      </c>
      <c r="C12" s="3" t="s">
        <v>40</v>
      </c>
      <c r="D12" s="3" t="s">
        <v>11</v>
      </c>
      <c r="E12" s="3" t="s">
        <v>28</v>
      </c>
      <c r="F12" s="3" t="s">
        <v>24</v>
      </c>
      <c r="G12" s="3">
        <v>6</v>
      </c>
      <c r="H12" s="13">
        <v>700</v>
      </c>
      <c r="I12" s="3" t="s">
        <v>14</v>
      </c>
      <c r="J12" s="7" t="s">
        <v>26</v>
      </c>
    </row>
    <row r="13" spans="1:10" ht="15" thickBot="1" x14ac:dyDescent="0.35">
      <c r="A13" s="5">
        <v>1012</v>
      </c>
      <c r="B13" s="6">
        <v>46240</v>
      </c>
      <c r="C13" s="3" t="s">
        <v>41</v>
      </c>
      <c r="D13" s="3" t="s">
        <v>22</v>
      </c>
      <c r="E13" s="3" t="s">
        <v>12</v>
      </c>
      <c r="F13" s="3" t="s">
        <v>13</v>
      </c>
      <c r="G13" s="3">
        <v>1</v>
      </c>
      <c r="H13" s="13">
        <v>58000</v>
      </c>
      <c r="I13" s="3" t="s">
        <v>19</v>
      </c>
      <c r="J13" s="7" t="s">
        <v>15</v>
      </c>
    </row>
    <row r="14" spans="1:10" ht="15" thickBot="1" x14ac:dyDescent="0.35">
      <c r="A14" s="5">
        <v>1013</v>
      </c>
      <c r="B14" s="6">
        <v>46241</v>
      </c>
      <c r="C14" s="3" t="s">
        <v>42</v>
      </c>
      <c r="D14" s="3" t="s">
        <v>17</v>
      </c>
      <c r="E14" s="3" t="s">
        <v>33</v>
      </c>
      <c r="F14" s="3" t="s">
        <v>13</v>
      </c>
      <c r="G14" s="3">
        <v>3</v>
      </c>
      <c r="H14" s="13">
        <v>13500</v>
      </c>
      <c r="I14" s="3" t="s">
        <v>14</v>
      </c>
      <c r="J14" s="7" t="s">
        <v>16</v>
      </c>
    </row>
    <row r="15" spans="1:10" ht="15" thickBot="1" x14ac:dyDescent="0.35">
      <c r="A15" s="5">
        <v>1014</v>
      </c>
      <c r="B15" s="6">
        <v>46241</v>
      </c>
      <c r="C15" s="3" t="s">
        <v>43</v>
      </c>
      <c r="D15" s="3" t="s">
        <v>38</v>
      </c>
      <c r="E15" s="3" t="s">
        <v>31</v>
      </c>
      <c r="F15" s="3" t="s">
        <v>24</v>
      </c>
      <c r="G15" s="3">
        <v>4</v>
      </c>
      <c r="H15" s="13">
        <v>2200</v>
      </c>
      <c r="I15" s="3" t="s">
        <v>25</v>
      </c>
      <c r="J15" s="7" t="s">
        <v>20</v>
      </c>
    </row>
    <row r="16" spans="1:10" ht="15" thickBot="1" x14ac:dyDescent="0.35">
      <c r="A16" s="5">
        <v>1015</v>
      </c>
      <c r="B16" s="6">
        <v>46242</v>
      </c>
      <c r="C16" s="3" t="s">
        <v>44</v>
      </c>
      <c r="D16" s="3" t="s">
        <v>30</v>
      </c>
      <c r="E16" s="3" t="s">
        <v>36</v>
      </c>
      <c r="F16" s="3" t="s">
        <v>13</v>
      </c>
      <c r="G16" s="3">
        <v>1</v>
      </c>
      <c r="H16" s="13">
        <v>11000</v>
      </c>
      <c r="I16" s="3" t="s">
        <v>19</v>
      </c>
      <c r="J16" s="7" t="s">
        <v>26</v>
      </c>
    </row>
    <row r="17" spans="1:10" ht="15" thickBot="1" x14ac:dyDescent="0.35">
      <c r="A17" s="5">
        <v>1016</v>
      </c>
      <c r="B17" s="6">
        <v>46242</v>
      </c>
      <c r="C17" s="3" t="s">
        <v>45</v>
      </c>
      <c r="D17" s="3" t="s">
        <v>11</v>
      </c>
      <c r="E17" s="3" t="s">
        <v>18</v>
      </c>
      <c r="F17" s="3" t="s">
        <v>13</v>
      </c>
      <c r="G17" s="3">
        <v>3</v>
      </c>
      <c r="H17" s="13">
        <v>25000</v>
      </c>
      <c r="I17" s="3" t="s">
        <v>14</v>
      </c>
      <c r="J17" s="7" t="s">
        <v>15</v>
      </c>
    </row>
    <row r="18" spans="1:10" ht="15" thickBot="1" x14ac:dyDescent="0.35">
      <c r="A18" s="5">
        <v>1017</v>
      </c>
      <c r="B18" s="6">
        <v>46243</v>
      </c>
      <c r="C18" s="3" t="s">
        <v>46</v>
      </c>
      <c r="D18" s="3" t="s">
        <v>22</v>
      </c>
      <c r="E18" s="3" t="s">
        <v>23</v>
      </c>
      <c r="F18" s="3" t="s">
        <v>24</v>
      </c>
      <c r="G18" s="3">
        <v>5</v>
      </c>
      <c r="H18" s="13">
        <v>1300</v>
      </c>
      <c r="I18" s="3" t="s">
        <v>25</v>
      </c>
      <c r="J18" s="7" t="s">
        <v>16</v>
      </c>
    </row>
    <row r="19" spans="1:10" ht="15" thickBot="1" x14ac:dyDescent="0.35">
      <c r="A19" s="5">
        <v>1018</v>
      </c>
      <c r="B19" s="6">
        <v>46243</v>
      </c>
      <c r="C19" s="3" t="s">
        <v>47</v>
      </c>
      <c r="D19" s="3" t="s">
        <v>17</v>
      </c>
      <c r="E19" s="3" t="s">
        <v>28</v>
      </c>
      <c r="F19" s="3" t="s">
        <v>24</v>
      </c>
      <c r="G19" s="3">
        <v>8</v>
      </c>
      <c r="H19" s="13">
        <v>650</v>
      </c>
      <c r="I19" s="3" t="s">
        <v>19</v>
      </c>
      <c r="J19" s="7" t="s">
        <v>20</v>
      </c>
    </row>
    <row r="20" spans="1:10" ht="15" thickBot="1" x14ac:dyDescent="0.35">
      <c r="A20" s="5">
        <v>1019</v>
      </c>
      <c r="B20" s="6">
        <v>46244</v>
      </c>
      <c r="C20" s="3" t="s">
        <v>20</v>
      </c>
      <c r="D20" s="3" t="s">
        <v>38</v>
      </c>
      <c r="E20" s="3" t="s">
        <v>12</v>
      </c>
      <c r="F20" s="3" t="s">
        <v>13</v>
      </c>
      <c r="G20" s="3">
        <v>2</v>
      </c>
      <c r="H20" s="13">
        <v>60000</v>
      </c>
      <c r="I20" s="3" t="s">
        <v>14</v>
      </c>
      <c r="J20" s="7" t="s">
        <v>26</v>
      </c>
    </row>
    <row r="21" spans="1:10" ht="15" thickBot="1" x14ac:dyDescent="0.35">
      <c r="A21" s="5">
        <v>1020</v>
      </c>
      <c r="B21" s="6">
        <v>46244</v>
      </c>
      <c r="C21" s="3" t="s">
        <v>48</v>
      </c>
      <c r="D21" s="3" t="s">
        <v>30</v>
      </c>
      <c r="E21" s="3" t="s">
        <v>33</v>
      </c>
      <c r="F21" s="3" t="s">
        <v>13</v>
      </c>
      <c r="G21" s="3">
        <v>1</v>
      </c>
      <c r="H21" s="13">
        <v>16000</v>
      </c>
      <c r="I21" s="3" t="s">
        <v>19</v>
      </c>
      <c r="J21" s="7" t="s">
        <v>15</v>
      </c>
    </row>
    <row r="22" spans="1:10" ht="15" thickBot="1" x14ac:dyDescent="0.35">
      <c r="A22" s="5">
        <v>1021</v>
      </c>
      <c r="B22" s="6">
        <v>46245</v>
      </c>
      <c r="C22" s="3" t="s">
        <v>49</v>
      </c>
      <c r="D22" s="3" t="s">
        <v>11</v>
      </c>
      <c r="E22" s="3" t="s">
        <v>36</v>
      </c>
      <c r="F22" s="3" t="s">
        <v>13</v>
      </c>
      <c r="G22" s="3">
        <v>2</v>
      </c>
      <c r="H22" s="13">
        <v>9000</v>
      </c>
      <c r="I22" s="3" t="s">
        <v>14</v>
      </c>
      <c r="J22" s="7" t="s">
        <v>16</v>
      </c>
    </row>
    <row r="23" spans="1:10" ht="15" thickBot="1" x14ac:dyDescent="0.35">
      <c r="A23" s="5">
        <v>1022</v>
      </c>
      <c r="B23" s="6">
        <v>46245</v>
      </c>
      <c r="C23" s="3" t="s">
        <v>50</v>
      </c>
      <c r="D23" s="3" t="s">
        <v>22</v>
      </c>
      <c r="E23" s="3" t="s">
        <v>31</v>
      </c>
      <c r="F23" s="3" t="s">
        <v>24</v>
      </c>
      <c r="G23" s="3">
        <v>3</v>
      </c>
      <c r="H23" s="13">
        <v>2800</v>
      </c>
      <c r="I23" s="3" t="s">
        <v>25</v>
      </c>
      <c r="J23" s="7" t="s">
        <v>20</v>
      </c>
    </row>
    <row r="24" spans="1:10" ht="15" thickBot="1" x14ac:dyDescent="0.35">
      <c r="A24" s="5">
        <v>1023</v>
      </c>
      <c r="B24" s="6">
        <v>46246</v>
      </c>
      <c r="C24" s="3" t="s">
        <v>51</v>
      </c>
      <c r="D24" s="3" t="s">
        <v>17</v>
      </c>
      <c r="E24" s="3" t="s">
        <v>18</v>
      </c>
      <c r="F24" s="3" t="s">
        <v>13</v>
      </c>
      <c r="G24" s="3">
        <v>2</v>
      </c>
      <c r="H24" s="13">
        <v>21000</v>
      </c>
      <c r="I24" s="3" t="s">
        <v>19</v>
      </c>
      <c r="J24" s="7" t="s">
        <v>26</v>
      </c>
    </row>
    <row r="25" spans="1:10" ht="15" thickBot="1" x14ac:dyDescent="0.35">
      <c r="A25" s="5">
        <v>1024</v>
      </c>
      <c r="B25" s="6">
        <v>46246</v>
      </c>
      <c r="C25" s="3" t="s">
        <v>52</v>
      </c>
      <c r="D25" s="3" t="s">
        <v>38</v>
      </c>
      <c r="E25" s="3" t="s">
        <v>23</v>
      </c>
      <c r="F25" s="3" t="s">
        <v>24</v>
      </c>
      <c r="G25" s="3">
        <v>4</v>
      </c>
      <c r="H25" s="13">
        <v>1400</v>
      </c>
      <c r="I25" s="3" t="s">
        <v>14</v>
      </c>
      <c r="J25" s="7" t="s">
        <v>15</v>
      </c>
    </row>
    <row r="26" spans="1:10" ht="15" thickBot="1" x14ac:dyDescent="0.35">
      <c r="A26" s="5">
        <v>1025</v>
      </c>
      <c r="B26" s="6">
        <v>46247</v>
      </c>
      <c r="C26" s="3" t="s">
        <v>53</v>
      </c>
      <c r="D26" s="3" t="s">
        <v>30</v>
      </c>
      <c r="E26" s="3" t="s">
        <v>28</v>
      </c>
      <c r="F26" s="3" t="s">
        <v>24</v>
      </c>
      <c r="G26" s="3">
        <v>5</v>
      </c>
      <c r="H26" s="13">
        <v>750</v>
      </c>
      <c r="I26" s="3" t="s">
        <v>25</v>
      </c>
      <c r="J26" s="7" t="s">
        <v>16</v>
      </c>
    </row>
    <row r="27" spans="1:10" ht="15" thickBot="1" x14ac:dyDescent="0.35">
      <c r="A27" s="5">
        <v>1026</v>
      </c>
      <c r="B27" s="6">
        <v>46247</v>
      </c>
      <c r="C27" s="3" t="s">
        <v>54</v>
      </c>
      <c r="D27" s="3" t="s">
        <v>11</v>
      </c>
      <c r="E27" s="3" t="s">
        <v>12</v>
      </c>
      <c r="F27" s="3" t="s">
        <v>13</v>
      </c>
      <c r="G27" s="3">
        <v>1</v>
      </c>
      <c r="H27" s="13">
        <v>65000</v>
      </c>
      <c r="I27" s="3" t="s">
        <v>19</v>
      </c>
      <c r="J27" s="7" t="s">
        <v>20</v>
      </c>
    </row>
    <row r="28" spans="1:10" ht="15" thickBot="1" x14ac:dyDescent="0.35">
      <c r="A28" s="5">
        <v>1027</v>
      </c>
      <c r="B28" s="6">
        <v>46248</v>
      </c>
      <c r="C28" s="3" t="s">
        <v>55</v>
      </c>
      <c r="D28" s="3" t="s">
        <v>22</v>
      </c>
      <c r="E28" s="3" t="s">
        <v>33</v>
      </c>
      <c r="F28" s="3" t="s">
        <v>13</v>
      </c>
      <c r="G28" s="3">
        <v>2</v>
      </c>
      <c r="H28" s="13">
        <v>14500</v>
      </c>
      <c r="I28" s="3" t="s">
        <v>14</v>
      </c>
      <c r="J28" s="7" t="s">
        <v>26</v>
      </c>
    </row>
    <row r="29" spans="1:10" ht="15" thickBot="1" x14ac:dyDescent="0.35">
      <c r="A29" s="5">
        <v>1028</v>
      </c>
      <c r="B29" s="6">
        <v>46248</v>
      </c>
      <c r="C29" s="3" t="s">
        <v>56</v>
      </c>
      <c r="D29" s="3" t="s">
        <v>17</v>
      </c>
      <c r="E29" s="3" t="s">
        <v>36</v>
      </c>
      <c r="F29" s="3" t="s">
        <v>13</v>
      </c>
      <c r="G29" s="3">
        <v>3</v>
      </c>
      <c r="H29" s="13">
        <v>8500</v>
      </c>
      <c r="I29" s="3" t="s">
        <v>19</v>
      </c>
      <c r="J29" s="7" t="s">
        <v>15</v>
      </c>
    </row>
    <row r="30" spans="1:10" ht="15" thickBot="1" x14ac:dyDescent="0.35">
      <c r="A30" s="5">
        <v>1029</v>
      </c>
      <c r="B30" s="6">
        <v>46249</v>
      </c>
      <c r="C30" s="3" t="s">
        <v>57</v>
      </c>
      <c r="D30" s="3" t="s">
        <v>38</v>
      </c>
      <c r="E30" s="3" t="s">
        <v>18</v>
      </c>
      <c r="F30" s="3" t="s">
        <v>13</v>
      </c>
      <c r="G30" s="3">
        <v>1</v>
      </c>
      <c r="H30" s="13">
        <v>23000</v>
      </c>
      <c r="I30" s="3" t="s">
        <v>25</v>
      </c>
      <c r="J30" s="7" t="s">
        <v>16</v>
      </c>
    </row>
    <row r="31" spans="1:10" ht="15" thickBot="1" x14ac:dyDescent="0.35">
      <c r="A31" s="5">
        <v>1030</v>
      </c>
      <c r="B31" s="6">
        <v>46249</v>
      </c>
      <c r="C31" s="3" t="s">
        <v>58</v>
      </c>
      <c r="D31" s="3" t="s">
        <v>30</v>
      </c>
      <c r="E31" s="3" t="s">
        <v>31</v>
      </c>
      <c r="F31" s="3" t="s">
        <v>24</v>
      </c>
      <c r="G31" s="3">
        <v>2</v>
      </c>
      <c r="H31" s="13">
        <v>3000</v>
      </c>
      <c r="I31" s="3" t="s">
        <v>14</v>
      </c>
      <c r="J31" s="7" t="s">
        <v>20</v>
      </c>
    </row>
    <row r="32" spans="1:10" ht="15" thickBot="1" x14ac:dyDescent="0.35">
      <c r="A32" s="5">
        <v>1031</v>
      </c>
      <c r="B32" s="6">
        <v>46250</v>
      </c>
      <c r="C32" s="3" t="s">
        <v>59</v>
      </c>
      <c r="D32" s="3" t="s">
        <v>11</v>
      </c>
      <c r="E32" s="3" t="s">
        <v>23</v>
      </c>
      <c r="F32" s="3" t="s">
        <v>24</v>
      </c>
      <c r="G32" s="3">
        <v>7</v>
      </c>
      <c r="H32" s="13">
        <v>1100</v>
      </c>
      <c r="I32" s="3" t="s">
        <v>19</v>
      </c>
      <c r="J32" s="7" t="s">
        <v>26</v>
      </c>
    </row>
    <row r="33" spans="1:10" ht="15" thickBot="1" x14ac:dyDescent="0.35">
      <c r="A33" s="5">
        <v>1032</v>
      </c>
      <c r="B33" s="6">
        <v>46250</v>
      </c>
      <c r="C33" s="3" t="s">
        <v>60</v>
      </c>
      <c r="D33" s="3" t="s">
        <v>22</v>
      </c>
      <c r="E33" s="3" t="s">
        <v>28</v>
      </c>
      <c r="F33" s="3" t="s">
        <v>24</v>
      </c>
      <c r="G33" s="3">
        <v>4</v>
      </c>
      <c r="H33" s="13">
        <v>900</v>
      </c>
      <c r="I33" s="3" t="s">
        <v>14</v>
      </c>
      <c r="J33" s="7" t="s">
        <v>15</v>
      </c>
    </row>
    <row r="34" spans="1:10" ht="15" thickBot="1" x14ac:dyDescent="0.35">
      <c r="A34" s="5">
        <v>1033</v>
      </c>
      <c r="B34" s="6">
        <v>46251</v>
      </c>
      <c r="C34" s="3" t="s">
        <v>61</v>
      </c>
      <c r="D34" s="3" t="s">
        <v>17</v>
      </c>
      <c r="E34" s="3" t="s">
        <v>12</v>
      </c>
      <c r="F34" s="3" t="s">
        <v>13</v>
      </c>
      <c r="G34" s="3">
        <v>2</v>
      </c>
      <c r="H34" s="13">
        <v>57000</v>
      </c>
      <c r="I34" s="3" t="s">
        <v>19</v>
      </c>
      <c r="J34" s="7" t="s">
        <v>16</v>
      </c>
    </row>
    <row r="35" spans="1:10" ht="15" thickBot="1" x14ac:dyDescent="0.35">
      <c r="A35" s="5">
        <v>1034</v>
      </c>
      <c r="B35" s="6">
        <v>46251</v>
      </c>
      <c r="C35" s="3" t="s">
        <v>62</v>
      </c>
      <c r="D35" s="3" t="s">
        <v>38</v>
      </c>
      <c r="E35" s="3" t="s">
        <v>33</v>
      </c>
      <c r="F35" s="3" t="s">
        <v>13</v>
      </c>
      <c r="G35" s="3">
        <v>1</v>
      </c>
      <c r="H35" s="13">
        <v>15500</v>
      </c>
      <c r="I35" s="3" t="s">
        <v>25</v>
      </c>
      <c r="J35" s="7" t="s">
        <v>20</v>
      </c>
    </row>
    <row r="36" spans="1:10" ht="15" thickBot="1" x14ac:dyDescent="0.35">
      <c r="A36" s="5">
        <v>1035</v>
      </c>
      <c r="B36" s="6">
        <v>46252</v>
      </c>
      <c r="C36" s="3" t="s">
        <v>63</v>
      </c>
      <c r="D36" s="3" t="s">
        <v>30</v>
      </c>
      <c r="E36" s="3" t="s">
        <v>36</v>
      </c>
      <c r="F36" s="3" t="s">
        <v>13</v>
      </c>
      <c r="G36" s="3">
        <v>2</v>
      </c>
      <c r="H36" s="13">
        <v>10000</v>
      </c>
      <c r="I36" s="3" t="s">
        <v>14</v>
      </c>
      <c r="J36" s="7" t="s">
        <v>26</v>
      </c>
    </row>
    <row r="37" spans="1:10" ht="15" thickBot="1" x14ac:dyDescent="0.35">
      <c r="A37" s="5">
        <v>1036</v>
      </c>
      <c r="B37" s="6">
        <v>46252</v>
      </c>
      <c r="C37" s="3" t="s">
        <v>64</v>
      </c>
      <c r="D37" s="3" t="s">
        <v>11</v>
      </c>
      <c r="E37" s="3" t="s">
        <v>18</v>
      </c>
      <c r="F37" s="3" t="s">
        <v>13</v>
      </c>
      <c r="G37" s="3">
        <v>4</v>
      </c>
      <c r="H37" s="13">
        <v>19500</v>
      </c>
      <c r="I37" s="3" t="s">
        <v>19</v>
      </c>
      <c r="J37" s="7" t="s">
        <v>15</v>
      </c>
    </row>
    <row r="38" spans="1:10" ht="15" thickBot="1" x14ac:dyDescent="0.35">
      <c r="A38" s="5">
        <v>1037</v>
      </c>
      <c r="B38" s="6">
        <v>46253</v>
      </c>
      <c r="C38" s="3" t="s">
        <v>65</v>
      </c>
      <c r="D38" s="3" t="s">
        <v>22</v>
      </c>
      <c r="E38" s="3" t="s">
        <v>23</v>
      </c>
      <c r="F38" s="3" t="s">
        <v>24</v>
      </c>
      <c r="G38" s="3">
        <v>3</v>
      </c>
      <c r="H38" s="13">
        <v>1600</v>
      </c>
      <c r="I38" s="3" t="s">
        <v>14</v>
      </c>
      <c r="J38" s="7" t="s">
        <v>16</v>
      </c>
    </row>
    <row r="39" spans="1:10" ht="15" thickBot="1" x14ac:dyDescent="0.35">
      <c r="A39" s="5">
        <v>1038</v>
      </c>
      <c r="B39" s="6">
        <v>46253</v>
      </c>
      <c r="C39" s="3" t="s">
        <v>66</v>
      </c>
      <c r="D39" s="3" t="s">
        <v>17</v>
      </c>
      <c r="E39" s="3" t="s">
        <v>28</v>
      </c>
      <c r="F39" s="3" t="s">
        <v>24</v>
      </c>
      <c r="G39" s="3">
        <v>6</v>
      </c>
      <c r="H39" s="13">
        <v>850</v>
      </c>
      <c r="I39" s="3" t="s">
        <v>25</v>
      </c>
      <c r="J39" s="7" t="s">
        <v>20</v>
      </c>
    </row>
    <row r="40" spans="1:10" ht="15" thickBot="1" x14ac:dyDescent="0.35">
      <c r="A40" s="5">
        <v>1039</v>
      </c>
      <c r="B40" s="6">
        <v>46254</v>
      </c>
      <c r="C40" s="3" t="s">
        <v>67</v>
      </c>
      <c r="D40" s="3" t="s">
        <v>38</v>
      </c>
      <c r="E40" s="3" t="s">
        <v>12</v>
      </c>
      <c r="F40" s="3" t="s">
        <v>13</v>
      </c>
      <c r="G40" s="3">
        <v>1</v>
      </c>
      <c r="H40" s="13">
        <v>61000</v>
      </c>
      <c r="I40" s="3" t="s">
        <v>19</v>
      </c>
      <c r="J40" s="7" t="s">
        <v>26</v>
      </c>
    </row>
    <row r="41" spans="1:10" ht="15" thickBot="1" x14ac:dyDescent="0.35">
      <c r="A41" s="5">
        <v>1040</v>
      </c>
      <c r="B41" s="6">
        <v>46254</v>
      </c>
      <c r="C41" s="3" t="s">
        <v>68</v>
      </c>
      <c r="D41" s="3" t="s">
        <v>30</v>
      </c>
      <c r="E41" s="3" t="s">
        <v>33</v>
      </c>
      <c r="F41" s="3" t="s">
        <v>13</v>
      </c>
      <c r="G41" s="3">
        <v>2</v>
      </c>
      <c r="H41" s="13">
        <v>12500</v>
      </c>
      <c r="I41" s="3" t="s">
        <v>14</v>
      </c>
      <c r="J41" s="7" t="s">
        <v>15</v>
      </c>
    </row>
    <row r="42" spans="1:10" ht="15" thickBot="1" x14ac:dyDescent="0.35">
      <c r="A42" s="5">
        <v>1041</v>
      </c>
      <c r="B42" s="6">
        <v>46255</v>
      </c>
      <c r="C42" s="3" t="s">
        <v>26</v>
      </c>
      <c r="D42" s="3" t="s">
        <v>11</v>
      </c>
      <c r="E42" s="3" t="s">
        <v>36</v>
      </c>
      <c r="F42" s="3" t="s">
        <v>13</v>
      </c>
      <c r="G42" s="3">
        <v>1</v>
      </c>
      <c r="H42" s="13">
        <v>9500</v>
      </c>
      <c r="I42" s="3" t="s">
        <v>19</v>
      </c>
      <c r="J42" s="7" t="s">
        <v>16</v>
      </c>
    </row>
    <row r="43" spans="1:10" ht="15" thickBot="1" x14ac:dyDescent="0.35">
      <c r="A43" s="5">
        <v>1042</v>
      </c>
      <c r="B43" s="6">
        <v>46255</v>
      </c>
      <c r="C43" s="3" t="s">
        <v>69</v>
      </c>
      <c r="D43" s="3" t="s">
        <v>22</v>
      </c>
      <c r="E43" s="3" t="s">
        <v>31</v>
      </c>
      <c r="F43" s="3" t="s">
        <v>24</v>
      </c>
      <c r="G43" s="3">
        <v>5</v>
      </c>
      <c r="H43" s="13">
        <v>2400</v>
      </c>
      <c r="I43" s="3" t="s">
        <v>25</v>
      </c>
      <c r="J43" s="7" t="s">
        <v>20</v>
      </c>
    </row>
    <row r="44" spans="1:10" ht="15" thickBot="1" x14ac:dyDescent="0.35">
      <c r="A44" s="5">
        <v>1043</v>
      </c>
      <c r="B44" s="6">
        <v>46256</v>
      </c>
      <c r="C44" s="3" t="s">
        <v>70</v>
      </c>
      <c r="D44" s="3" t="s">
        <v>17</v>
      </c>
      <c r="E44" s="3" t="s">
        <v>18</v>
      </c>
      <c r="F44" s="3" t="s">
        <v>13</v>
      </c>
      <c r="G44" s="3">
        <v>2</v>
      </c>
      <c r="H44" s="13">
        <v>26000</v>
      </c>
      <c r="I44" s="3" t="s">
        <v>14</v>
      </c>
      <c r="J44" s="7" t="s">
        <v>26</v>
      </c>
    </row>
    <row r="45" spans="1:10" ht="15" thickBot="1" x14ac:dyDescent="0.35">
      <c r="A45" s="5">
        <v>1044</v>
      </c>
      <c r="B45" s="6">
        <v>46256</v>
      </c>
      <c r="C45" s="3" t="s">
        <v>71</v>
      </c>
      <c r="D45" s="3" t="s">
        <v>38</v>
      </c>
      <c r="E45" s="3" t="s">
        <v>23</v>
      </c>
      <c r="F45" s="3" t="s">
        <v>24</v>
      </c>
      <c r="G45" s="3">
        <v>4</v>
      </c>
      <c r="H45" s="13">
        <v>1250</v>
      </c>
      <c r="I45" s="3" t="s">
        <v>19</v>
      </c>
      <c r="J45" s="7" t="s">
        <v>15</v>
      </c>
    </row>
    <row r="46" spans="1:10" ht="15" thickBot="1" x14ac:dyDescent="0.35">
      <c r="A46" s="5">
        <v>1045</v>
      </c>
      <c r="B46" s="6">
        <v>46257</v>
      </c>
      <c r="C46" s="3" t="s">
        <v>72</v>
      </c>
      <c r="D46" s="3" t="s">
        <v>30</v>
      </c>
      <c r="E46" s="3" t="s">
        <v>28</v>
      </c>
      <c r="F46" s="3" t="s">
        <v>24</v>
      </c>
      <c r="G46" s="3">
        <v>3</v>
      </c>
      <c r="H46" s="13">
        <v>950</v>
      </c>
      <c r="I46" s="3" t="s">
        <v>14</v>
      </c>
      <c r="J46" s="7" t="s">
        <v>16</v>
      </c>
    </row>
    <row r="47" spans="1:10" ht="15" thickBot="1" x14ac:dyDescent="0.35">
      <c r="A47" s="5">
        <v>1046</v>
      </c>
      <c r="B47" s="6">
        <v>46257</v>
      </c>
      <c r="C47" s="3" t="s">
        <v>73</v>
      </c>
      <c r="D47" s="3" t="s">
        <v>11</v>
      </c>
      <c r="E47" s="3" t="s">
        <v>12</v>
      </c>
      <c r="F47" s="3" t="s">
        <v>13</v>
      </c>
      <c r="G47" s="3">
        <v>2</v>
      </c>
      <c r="H47" s="13">
        <v>59000</v>
      </c>
      <c r="I47" s="3" t="s">
        <v>25</v>
      </c>
      <c r="J47" s="7" t="s">
        <v>20</v>
      </c>
    </row>
    <row r="48" spans="1:10" ht="15" thickBot="1" x14ac:dyDescent="0.35">
      <c r="A48" s="5">
        <v>1047</v>
      </c>
      <c r="B48" s="6">
        <v>46258</v>
      </c>
      <c r="C48" s="3" t="s">
        <v>74</v>
      </c>
      <c r="D48" s="3" t="s">
        <v>22</v>
      </c>
      <c r="E48" s="3" t="s">
        <v>33</v>
      </c>
      <c r="F48" s="3" t="s">
        <v>13</v>
      </c>
      <c r="G48" s="3">
        <v>3</v>
      </c>
      <c r="H48" s="13">
        <v>14000</v>
      </c>
      <c r="I48" s="3" t="s">
        <v>19</v>
      </c>
      <c r="J48" s="7" t="s">
        <v>26</v>
      </c>
    </row>
    <row r="49" spans="1:10" ht="15" thickBot="1" x14ac:dyDescent="0.35">
      <c r="A49" s="5">
        <v>1048</v>
      </c>
      <c r="B49" s="6">
        <v>46258</v>
      </c>
      <c r="C49" s="3" t="s">
        <v>75</v>
      </c>
      <c r="D49" s="3" t="s">
        <v>17</v>
      </c>
      <c r="E49" s="3" t="s">
        <v>36</v>
      </c>
      <c r="F49" s="3" t="s">
        <v>13</v>
      </c>
      <c r="G49" s="3">
        <v>2</v>
      </c>
      <c r="H49" s="13">
        <v>9200</v>
      </c>
      <c r="I49" s="3" t="s">
        <v>14</v>
      </c>
      <c r="J49" s="7" t="s">
        <v>15</v>
      </c>
    </row>
    <row r="50" spans="1:10" ht="15" thickBot="1" x14ac:dyDescent="0.35">
      <c r="A50" s="5">
        <v>1049</v>
      </c>
      <c r="B50" s="6">
        <v>46259</v>
      </c>
      <c r="C50" s="3" t="s">
        <v>76</v>
      </c>
      <c r="D50" s="3" t="s">
        <v>38</v>
      </c>
      <c r="E50" s="3" t="s">
        <v>18</v>
      </c>
      <c r="F50" s="3" t="s">
        <v>13</v>
      </c>
      <c r="G50" s="3">
        <v>3</v>
      </c>
      <c r="H50" s="13">
        <v>20000</v>
      </c>
      <c r="I50" s="3" t="s">
        <v>19</v>
      </c>
      <c r="J50" s="7" t="s">
        <v>16</v>
      </c>
    </row>
    <row r="51" spans="1:10" ht="15" thickBot="1" x14ac:dyDescent="0.35">
      <c r="A51" s="8">
        <v>1050</v>
      </c>
      <c r="B51" s="9">
        <v>46259</v>
      </c>
      <c r="C51" s="10" t="s">
        <v>77</v>
      </c>
      <c r="D51" s="10" t="s">
        <v>30</v>
      </c>
      <c r="E51" s="10" t="s">
        <v>31</v>
      </c>
      <c r="F51" s="10" t="s">
        <v>24</v>
      </c>
      <c r="G51" s="10">
        <v>4</v>
      </c>
      <c r="H51" s="14">
        <v>2700</v>
      </c>
      <c r="I51" s="10" t="s">
        <v>25</v>
      </c>
      <c r="J51" s="11" t="s">
        <v>20</v>
      </c>
    </row>
    <row r="52" spans="1:10" ht="15" thickTop="1" x14ac:dyDescent="0.3"/>
  </sheetData>
  <conditionalFormatting sqref="D2:D51">
    <cfRule type="containsText" dxfId="2" priority="7" operator="containsText" text="Lucknow">
      <formula>NOT(ISERROR(SEARCH("Lucknow",D2)))</formula>
    </cfRule>
  </conditionalFormatting>
  <conditionalFormatting sqref="F2:F51">
    <cfRule type="containsText" dxfId="1" priority="1" operator="containsText" text="Accessories">
      <formula>NOT(ISERROR(SEARCH("Accessories",F2)))</formula>
    </cfRule>
  </conditionalFormatting>
  <conditionalFormatting sqref="H2:H51">
    <cfRule type="dataBar" priority="4">
      <dataBar>
        <cfvo type="min"/>
        <cfvo type="max"/>
        <color rgb="FF63C384"/>
      </dataBar>
      <extLst>
        <ext xmlns:x14="http://schemas.microsoft.com/office/spreadsheetml/2009/9/main" uri="{B025F937-C7B1-47D3-B67F-A62EFF666E3E}">
          <x14:id>{6E4605CD-F22C-415F-8766-A49C0AA13B9D}</x14:id>
        </ext>
      </extLst>
    </cfRule>
  </conditionalFormatting>
  <conditionalFormatting sqref="I2:I51">
    <cfRule type="containsText" dxfId="0" priority="5" operator="containsText" text="UPI">
      <formula>NOT(ISERROR(SEARCH("UPI",I2)))</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6E4605CD-F22C-415F-8766-A49C0AA13B9D}">
            <x14:dataBar minLength="0" maxLength="100" gradient="0">
              <x14:cfvo type="autoMin"/>
              <x14:cfvo type="autoMax"/>
              <x14:negativeFillColor rgb="FFFF0000"/>
              <x14:axisColor rgb="FF000000"/>
            </x14:dataBar>
          </x14:cfRule>
          <xm:sqref>H2:H51</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9D496-A7B4-4A3D-B1D7-F6679656A705}">
  <dimension ref="A1:U107"/>
  <sheetViews>
    <sheetView topLeftCell="A6" workbookViewId="0">
      <selection activeCell="E35" sqref="E35"/>
    </sheetView>
  </sheetViews>
  <sheetFormatPr defaultRowHeight="14.4" x14ac:dyDescent="0.3"/>
  <cols>
    <col min="1" max="1" width="7.5546875" bestFit="1" customWidth="1"/>
    <col min="2" max="2" width="10.33203125" bestFit="1" customWidth="1"/>
    <col min="3" max="3" width="16.33203125" customWidth="1"/>
    <col min="4" max="4" width="10.88671875" customWidth="1"/>
    <col min="5" max="5" width="11.109375" bestFit="1" customWidth="1"/>
    <col min="6" max="6" width="15.21875" customWidth="1"/>
    <col min="7" max="7" width="11.44140625" customWidth="1"/>
    <col min="8" max="8" width="10.44140625" bestFit="1" customWidth="1"/>
    <col min="9" max="9" width="13.6640625" bestFit="1" customWidth="1"/>
    <col min="10" max="10" width="14.6640625" customWidth="1"/>
    <col min="11" max="11" width="12.5546875" customWidth="1"/>
    <col min="12" max="12" width="7.5546875" bestFit="1" customWidth="1"/>
    <col min="13" max="13" width="10.33203125" bestFit="1" customWidth="1"/>
    <col min="14" max="14" width="9.109375" bestFit="1" customWidth="1"/>
    <col min="15" max="15" width="8.21875" bestFit="1" customWidth="1"/>
    <col min="16" max="16" width="11.109375" bestFit="1" customWidth="1"/>
    <col min="17" max="17" width="10.44140625" bestFit="1" customWidth="1"/>
    <col min="18" max="18" width="8.33203125" bestFit="1" customWidth="1"/>
    <col min="19" max="19" width="10.44140625" bestFit="1" customWidth="1"/>
    <col min="20" max="20" width="13.6640625" bestFit="1" customWidth="1"/>
    <col min="21" max="21" width="11" bestFit="1" customWidth="1"/>
  </cols>
  <sheetData>
    <row r="1" spans="1:21" ht="3" hidden="1" customHeight="1" thickBot="1" x14ac:dyDescent="0.3">
      <c r="A1" s="40"/>
      <c r="B1" s="40"/>
      <c r="C1" s="40"/>
      <c r="D1" s="40"/>
      <c r="E1" s="40"/>
      <c r="F1" s="40"/>
      <c r="G1" s="40"/>
      <c r="H1" s="40"/>
      <c r="I1" s="40"/>
      <c r="J1" s="40"/>
    </row>
    <row r="2" spans="1:21" ht="15" hidden="1" customHeight="1" thickBot="1" x14ac:dyDescent="0.3">
      <c r="A2" s="40"/>
      <c r="B2" s="40"/>
      <c r="C2" s="40"/>
      <c r="D2" s="40"/>
      <c r="E2" s="40"/>
      <c r="F2" s="40"/>
      <c r="G2" s="40"/>
      <c r="H2" s="40"/>
      <c r="I2" s="40"/>
      <c r="J2" s="40"/>
    </row>
    <row r="3" spans="1:21" ht="15" hidden="1" customHeight="1" thickBot="1" x14ac:dyDescent="0.3">
      <c r="A3" s="40"/>
      <c r="B3" s="40"/>
      <c r="C3" s="40"/>
      <c r="D3" s="40"/>
      <c r="E3" s="40"/>
      <c r="F3" s="40"/>
      <c r="G3" s="40"/>
      <c r="H3" s="40"/>
      <c r="I3" s="40"/>
      <c r="J3" s="40"/>
    </row>
    <row r="4" spans="1:21" ht="15" hidden="1" customHeight="1" thickBot="1" x14ac:dyDescent="0.3">
      <c r="A4" s="40"/>
      <c r="B4" s="40"/>
      <c r="C4" s="40"/>
      <c r="D4" s="40"/>
      <c r="E4" s="40"/>
      <c r="F4" s="40"/>
      <c r="G4" s="40"/>
      <c r="H4" s="40"/>
      <c r="I4" s="40"/>
      <c r="J4" s="40"/>
    </row>
    <row r="5" spans="1:21" ht="15" hidden="1" customHeight="1" thickBot="1" x14ac:dyDescent="0.3">
      <c r="A5" s="40"/>
      <c r="B5" s="40"/>
      <c r="C5" s="40"/>
      <c r="D5" s="40"/>
      <c r="E5" s="40"/>
      <c r="F5" s="40"/>
      <c r="G5" s="40"/>
      <c r="H5" s="40"/>
      <c r="I5" s="40"/>
      <c r="J5" s="40"/>
    </row>
    <row r="6" spans="1:21" ht="15" thickBot="1" x14ac:dyDescent="0.35">
      <c r="A6" s="41" t="s">
        <v>84</v>
      </c>
      <c r="B6" s="42"/>
      <c r="C6" s="42"/>
      <c r="D6" s="42"/>
      <c r="E6" s="42"/>
      <c r="F6" s="42"/>
      <c r="G6" s="42"/>
      <c r="H6" s="42"/>
      <c r="I6" s="42"/>
      <c r="J6" s="42"/>
      <c r="L6" s="41" t="s">
        <v>85</v>
      </c>
      <c r="M6" s="42"/>
      <c r="N6" s="42"/>
      <c r="O6" s="42"/>
      <c r="P6" s="42"/>
      <c r="Q6" s="42"/>
      <c r="R6" s="42"/>
      <c r="S6" s="42"/>
      <c r="T6" s="42"/>
      <c r="U6" s="42"/>
    </row>
    <row r="7" spans="1:21" ht="15.6" thickTop="1" thickBot="1" x14ac:dyDescent="0.35">
      <c r="A7" s="4" t="s">
        <v>0</v>
      </c>
      <c r="B7" s="1" t="s">
        <v>1</v>
      </c>
      <c r="C7" s="1" t="s">
        <v>2</v>
      </c>
      <c r="D7" s="1" t="s">
        <v>3</v>
      </c>
      <c r="E7" s="1" t="s">
        <v>4</v>
      </c>
      <c r="F7" s="1" t="s">
        <v>5</v>
      </c>
      <c r="G7" s="1" t="s">
        <v>6</v>
      </c>
      <c r="H7" s="12" t="s">
        <v>7</v>
      </c>
      <c r="I7" s="1" t="s">
        <v>8</v>
      </c>
      <c r="J7" s="2" t="s">
        <v>9</v>
      </c>
      <c r="L7" s="4" t="s">
        <v>0</v>
      </c>
      <c r="M7" s="1" t="s">
        <v>1</v>
      </c>
      <c r="N7" s="1" t="s">
        <v>2</v>
      </c>
      <c r="O7" s="1" t="s">
        <v>3</v>
      </c>
      <c r="P7" s="1" t="s">
        <v>4</v>
      </c>
      <c r="Q7" s="1" t="s">
        <v>5</v>
      </c>
      <c r="R7" s="1" t="s">
        <v>6</v>
      </c>
      <c r="S7" s="12" t="s">
        <v>7</v>
      </c>
      <c r="T7" s="1" t="s">
        <v>8</v>
      </c>
      <c r="U7" s="2" t="s">
        <v>9</v>
      </c>
    </row>
    <row r="8" spans="1:21" ht="15" thickBot="1" x14ac:dyDescent="0.35">
      <c r="A8" s="5">
        <v>1014</v>
      </c>
      <c r="B8" s="6">
        <v>46241</v>
      </c>
      <c r="C8" s="3" t="s">
        <v>43</v>
      </c>
      <c r="D8" s="3" t="s">
        <v>38</v>
      </c>
      <c r="E8" s="3" t="s">
        <v>31</v>
      </c>
      <c r="F8" s="3" t="s">
        <v>24</v>
      </c>
      <c r="G8" s="3">
        <v>4</v>
      </c>
      <c r="H8" s="13">
        <v>2200</v>
      </c>
      <c r="I8" s="3" t="s">
        <v>25</v>
      </c>
      <c r="J8" s="7" t="s">
        <v>20</v>
      </c>
      <c r="L8" s="5">
        <v>1005</v>
      </c>
      <c r="M8" s="6">
        <v>46237</v>
      </c>
      <c r="N8" s="3" t="s">
        <v>29</v>
      </c>
      <c r="O8" s="3" t="s">
        <v>30</v>
      </c>
      <c r="P8" s="3" t="s">
        <v>31</v>
      </c>
      <c r="Q8" s="3" t="s">
        <v>24</v>
      </c>
      <c r="R8" s="3">
        <v>2</v>
      </c>
      <c r="S8" s="13">
        <v>2500</v>
      </c>
      <c r="T8" s="3" t="s">
        <v>19</v>
      </c>
      <c r="U8" s="7" t="s">
        <v>16</v>
      </c>
    </row>
    <row r="9" spans="1:21" ht="15" thickBot="1" x14ac:dyDescent="0.35">
      <c r="A9" s="5">
        <v>1003</v>
      </c>
      <c r="B9" s="6">
        <v>46236</v>
      </c>
      <c r="C9" s="3" t="s">
        <v>21</v>
      </c>
      <c r="D9" s="3" t="s">
        <v>22</v>
      </c>
      <c r="E9" s="3" t="s">
        <v>23</v>
      </c>
      <c r="F9" s="3" t="s">
        <v>24</v>
      </c>
      <c r="G9" s="3">
        <v>5</v>
      </c>
      <c r="H9" s="13">
        <v>1200</v>
      </c>
      <c r="I9" s="3" t="s">
        <v>25</v>
      </c>
      <c r="J9" s="7" t="s">
        <v>26</v>
      </c>
      <c r="L9" s="5">
        <v>1004</v>
      </c>
      <c r="M9" s="6">
        <v>46236</v>
      </c>
      <c r="N9" s="3" t="s">
        <v>27</v>
      </c>
      <c r="O9" s="3" t="s">
        <v>11</v>
      </c>
      <c r="P9" s="3" t="s">
        <v>28</v>
      </c>
      <c r="Q9" s="3" t="s">
        <v>24</v>
      </c>
      <c r="R9" s="3">
        <v>4</v>
      </c>
      <c r="S9" s="13">
        <v>800</v>
      </c>
      <c r="T9" s="3" t="s">
        <v>14</v>
      </c>
      <c r="U9" s="7" t="s">
        <v>15</v>
      </c>
    </row>
    <row r="10" spans="1:21" ht="15" thickBot="1" x14ac:dyDescent="0.35">
      <c r="A10" s="5">
        <v>1007</v>
      </c>
      <c r="B10" s="6">
        <v>46238</v>
      </c>
      <c r="C10" s="3" t="s">
        <v>34</v>
      </c>
      <c r="D10" s="3" t="s">
        <v>17</v>
      </c>
      <c r="E10" s="3" t="s">
        <v>12</v>
      </c>
      <c r="F10" s="3" t="s">
        <v>13</v>
      </c>
      <c r="G10" s="3">
        <v>1</v>
      </c>
      <c r="H10" s="13">
        <v>62000</v>
      </c>
      <c r="I10" s="3" t="s">
        <v>19</v>
      </c>
      <c r="J10" s="7" t="s">
        <v>26</v>
      </c>
      <c r="L10" s="5">
        <v>1013</v>
      </c>
      <c r="M10" s="6">
        <v>46241</v>
      </c>
      <c r="N10" s="3" t="s">
        <v>42</v>
      </c>
      <c r="O10" s="3" t="s">
        <v>17</v>
      </c>
      <c r="P10" s="3" t="s">
        <v>33</v>
      </c>
      <c r="Q10" s="3" t="s">
        <v>13</v>
      </c>
      <c r="R10" s="3">
        <v>3</v>
      </c>
      <c r="S10" s="13">
        <v>13500</v>
      </c>
      <c r="T10" s="3" t="s">
        <v>14</v>
      </c>
      <c r="U10" s="7" t="s">
        <v>16</v>
      </c>
    </row>
    <row r="11" spans="1:21" ht="15" thickBot="1" x14ac:dyDescent="0.35">
      <c r="A11" s="5">
        <v>1012</v>
      </c>
      <c r="B11" s="6">
        <v>46240</v>
      </c>
      <c r="C11" s="3" t="s">
        <v>41</v>
      </c>
      <c r="D11" s="3" t="s">
        <v>22</v>
      </c>
      <c r="E11" s="3" t="s">
        <v>12</v>
      </c>
      <c r="F11" s="3" t="s">
        <v>13</v>
      </c>
      <c r="G11" s="3">
        <v>1</v>
      </c>
      <c r="H11" s="13">
        <v>58000</v>
      </c>
      <c r="I11" s="3" t="s">
        <v>19</v>
      </c>
      <c r="J11" s="7" t="s">
        <v>15</v>
      </c>
      <c r="L11" s="5">
        <v>1009</v>
      </c>
      <c r="M11" s="6">
        <v>46239</v>
      </c>
      <c r="N11" s="3" t="s">
        <v>37</v>
      </c>
      <c r="O11" s="3" t="s">
        <v>38</v>
      </c>
      <c r="P11" s="3" t="s">
        <v>78</v>
      </c>
      <c r="Q11" s="3" t="s">
        <v>13</v>
      </c>
      <c r="R11" s="3">
        <v>2</v>
      </c>
      <c r="S11" s="13">
        <v>18000</v>
      </c>
      <c r="T11" s="3" t="s">
        <v>14</v>
      </c>
      <c r="U11" s="7" t="s">
        <v>16</v>
      </c>
    </row>
    <row r="12" spans="1:21" ht="15" thickBot="1" x14ac:dyDescent="0.35">
      <c r="A12" s="5">
        <v>1008</v>
      </c>
      <c r="B12" s="6">
        <v>46238</v>
      </c>
      <c r="C12" s="3" t="s">
        <v>35</v>
      </c>
      <c r="D12" s="3" t="s">
        <v>11</v>
      </c>
      <c r="E12" s="3" t="s">
        <v>36</v>
      </c>
      <c r="F12" s="3" t="s">
        <v>13</v>
      </c>
      <c r="G12" s="3">
        <v>2</v>
      </c>
      <c r="H12" s="13">
        <v>9500</v>
      </c>
      <c r="I12" s="3" t="s">
        <v>25</v>
      </c>
      <c r="J12" s="7" t="s">
        <v>15</v>
      </c>
      <c r="L12" s="5">
        <v>1001</v>
      </c>
      <c r="M12" s="6">
        <v>46235</v>
      </c>
      <c r="N12" s="3" t="s">
        <v>10</v>
      </c>
      <c r="O12" s="3" t="s">
        <v>11</v>
      </c>
      <c r="P12" s="3" t="s">
        <v>12</v>
      </c>
      <c r="Q12" s="3" t="s">
        <v>13</v>
      </c>
      <c r="R12" s="3">
        <v>2</v>
      </c>
      <c r="S12" s="13">
        <v>55000</v>
      </c>
      <c r="T12" s="3" t="s">
        <v>14</v>
      </c>
      <c r="U12" s="7" t="s">
        <v>15</v>
      </c>
    </row>
    <row r="13" spans="1:21" ht="15" thickBot="1" x14ac:dyDescent="0.35">
      <c r="A13" s="5">
        <v>1015</v>
      </c>
      <c r="B13" s="6">
        <v>46242</v>
      </c>
      <c r="C13" s="3" t="s">
        <v>44</v>
      </c>
      <c r="D13" s="3" t="s">
        <v>30</v>
      </c>
      <c r="E13" s="3" t="s">
        <v>36</v>
      </c>
      <c r="F13" s="3" t="s">
        <v>13</v>
      </c>
      <c r="G13" s="3">
        <v>1</v>
      </c>
      <c r="H13" s="13">
        <v>11000</v>
      </c>
      <c r="I13" s="3" t="s">
        <v>19</v>
      </c>
      <c r="J13" s="7" t="s">
        <v>26</v>
      </c>
      <c r="L13" s="5">
        <v>1002</v>
      </c>
      <c r="M13" s="6">
        <v>46235</v>
      </c>
      <c r="N13" s="3" t="s">
        <v>16</v>
      </c>
      <c r="O13" s="3" t="s">
        <v>17</v>
      </c>
      <c r="P13" s="3" t="s">
        <v>18</v>
      </c>
      <c r="Q13" s="3" t="s">
        <v>13</v>
      </c>
      <c r="R13" s="3">
        <v>3</v>
      </c>
      <c r="S13" s="13">
        <v>22000</v>
      </c>
      <c r="T13" s="3" t="s">
        <v>19</v>
      </c>
      <c r="U13" s="7" t="s">
        <v>20</v>
      </c>
    </row>
    <row r="14" spans="1:21" ht="15" thickBot="1" x14ac:dyDescent="0.35">
      <c r="A14" s="5">
        <v>1010</v>
      </c>
      <c r="B14" s="6">
        <v>46239</v>
      </c>
      <c r="C14" s="3" t="s">
        <v>39</v>
      </c>
      <c r="D14" s="3" t="s">
        <v>30</v>
      </c>
      <c r="E14" s="3" t="s">
        <v>23</v>
      </c>
      <c r="F14" s="3" t="s">
        <v>24</v>
      </c>
      <c r="G14" s="3">
        <v>3</v>
      </c>
      <c r="H14" s="13">
        <v>1500</v>
      </c>
      <c r="I14" s="3" t="s">
        <v>19</v>
      </c>
      <c r="J14" s="7" t="s">
        <v>20</v>
      </c>
      <c r="L14" s="5">
        <v>1006</v>
      </c>
      <c r="M14" s="6">
        <v>46237</v>
      </c>
      <c r="N14" s="3" t="s">
        <v>32</v>
      </c>
      <c r="O14" s="3" t="s">
        <v>22</v>
      </c>
      <c r="P14" s="3" t="s">
        <v>33</v>
      </c>
      <c r="Q14" s="3" t="s">
        <v>13</v>
      </c>
      <c r="R14" s="3">
        <v>2</v>
      </c>
      <c r="S14" s="13">
        <v>15000</v>
      </c>
      <c r="T14" s="3" t="s">
        <v>14</v>
      </c>
      <c r="U14" s="7" t="s">
        <v>20</v>
      </c>
    </row>
    <row r="15" spans="1:21" ht="15" thickBot="1" x14ac:dyDescent="0.35">
      <c r="A15" s="5">
        <v>1011</v>
      </c>
      <c r="B15" s="6">
        <v>46240</v>
      </c>
      <c r="C15" s="3" t="s">
        <v>40</v>
      </c>
      <c r="D15" s="3" t="s">
        <v>11</v>
      </c>
      <c r="E15" s="3" t="s">
        <v>28</v>
      </c>
      <c r="F15" s="3" t="s">
        <v>24</v>
      </c>
      <c r="G15" s="3">
        <v>6</v>
      </c>
      <c r="H15" s="13">
        <v>700</v>
      </c>
      <c r="I15" s="3" t="s">
        <v>14</v>
      </c>
      <c r="J15" s="7" t="s">
        <v>26</v>
      </c>
      <c r="L15" s="5">
        <v>1011</v>
      </c>
      <c r="M15" s="6">
        <v>46240</v>
      </c>
      <c r="N15" s="3" t="s">
        <v>40</v>
      </c>
      <c r="O15" s="3" t="s">
        <v>11</v>
      </c>
      <c r="P15" s="3" t="s">
        <v>28</v>
      </c>
      <c r="Q15" s="3" t="s">
        <v>24</v>
      </c>
      <c r="R15" s="3">
        <v>6</v>
      </c>
      <c r="S15" s="13">
        <v>700</v>
      </c>
      <c r="T15" s="3" t="s">
        <v>14</v>
      </c>
      <c r="U15" s="7" t="s">
        <v>26</v>
      </c>
    </row>
    <row r="16" spans="1:21" ht="15" thickBot="1" x14ac:dyDescent="0.35">
      <c r="A16" s="5">
        <v>1006</v>
      </c>
      <c r="B16" s="6">
        <v>46237</v>
      </c>
      <c r="C16" s="3" t="s">
        <v>32</v>
      </c>
      <c r="D16" s="3" t="s">
        <v>22</v>
      </c>
      <c r="E16" s="3" t="s">
        <v>33</v>
      </c>
      <c r="F16" s="3" t="s">
        <v>13</v>
      </c>
      <c r="G16" s="3">
        <v>2</v>
      </c>
      <c r="H16" s="13">
        <v>15000</v>
      </c>
      <c r="I16" s="3" t="s">
        <v>14</v>
      </c>
      <c r="J16" s="7" t="s">
        <v>20</v>
      </c>
      <c r="L16" s="5">
        <v>1010</v>
      </c>
      <c r="M16" s="6">
        <v>46239</v>
      </c>
      <c r="N16" s="3" t="s">
        <v>39</v>
      </c>
      <c r="O16" s="3" t="s">
        <v>30</v>
      </c>
      <c r="P16" s="3" t="s">
        <v>23</v>
      </c>
      <c r="Q16" s="3" t="s">
        <v>24</v>
      </c>
      <c r="R16" s="3">
        <v>3</v>
      </c>
      <c r="S16" s="13">
        <v>1500</v>
      </c>
      <c r="T16" s="3" t="s">
        <v>19</v>
      </c>
      <c r="U16" s="7" t="s">
        <v>20</v>
      </c>
    </row>
    <row r="17" spans="1:21" ht="15" thickBot="1" x14ac:dyDescent="0.35">
      <c r="A17" s="5">
        <v>1002</v>
      </c>
      <c r="B17" s="6">
        <v>46235</v>
      </c>
      <c r="C17" s="3" t="s">
        <v>16</v>
      </c>
      <c r="D17" s="3" t="s">
        <v>17</v>
      </c>
      <c r="E17" s="3" t="s">
        <v>18</v>
      </c>
      <c r="F17" s="3" t="s">
        <v>13</v>
      </c>
      <c r="G17" s="3">
        <v>3</v>
      </c>
      <c r="H17" s="13">
        <v>22000</v>
      </c>
      <c r="I17" s="3" t="s">
        <v>19</v>
      </c>
      <c r="J17" s="7" t="s">
        <v>20</v>
      </c>
      <c r="L17" s="5">
        <v>1015</v>
      </c>
      <c r="M17" s="6">
        <v>46242</v>
      </c>
      <c r="N17" s="3" t="s">
        <v>44</v>
      </c>
      <c r="O17" s="3" t="s">
        <v>30</v>
      </c>
      <c r="P17" s="3" t="s">
        <v>36</v>
      </c>
      <c r="Q17" s="3" t="s">
        <v>13</v>
      </c>
      <c r="R17" s="3">
        <v>1</v>
      </c>
      <c r="S17" s="13">
        <v>11000</v>
      </c>
      <c r="T17" s="3" t="s">
        <v>19</v>
      </c>
      <c r="U17" s="7" t="s">
        <v>26</v>
      </c>
    </row>
    <row r="18" spans="1:21" ht="15" thickBot="1" x14ac:dyDescent="0.35">
      <c r="A18" s="5">
        <v>1001</v>
      </c>
      <c r="B18" s="6">
        <v>46235</v>
      </c>
      <c r="C18" s="3" t="s">
        <v>10</v>
      </c>
      <c r="D18" s="3" t="s">
        <v>11</v>
      </c>
      <c r="E18" s="3" t="s">
        <v>12</v>
      </c>
      <c r="F18" s="3" t="s">
        <v>13</v>
      </c>
      <c r="G18" s="3">
        <v>2</v>
      </c>
      <c r="H18" s="13">
        <v>55000</v>
      </c>
      <c r="I18" s="3" t="s">
        <v>14</v>
      </c>
      <c r="J18" s="7" t="s">
        <v>15</v>
      </c>
      <c r="L18" s="5">
        <v>1008</v>
      </c>
      <c r="M18" s="6">
        <v>46238</v>
      </c>
      <c r="N18" s="3" t="s">
        <v>35</v>
      </c>
      <c r="O18" s="3" t="s">
        <v>11</v>
      </c>
      <c r="P18" s="3" t="s">
        <v>36</v>
      </c>
      <c r="Q18" s="3" t="s">
        <v>13</v>
      </c>
      <c r="R18" s="3">
        <v>2</v>
      </c>
      <c r="S18" s="13">
        <v>9500</v>
      </c>
      <c r="T18" s="3" t="s">
        <v>25</v>
      </c>
      <c r="U18" s="7" t="s">
        <v>15</v>
      </c>
    </row>
    <row r="19" spans="1:21" ht="15" thickBot="1" x14ac:dyDescent="0.35">
      <c r="A19" s="5">
        <v>1009</v>
      </c>
      <c r="B19" s="6">
        <v>46239</v>
      </c>
      <c r="C19" s="3" t="s">
        <v>37</v>
      </c>
      <c r="D19" s="3" t="s">
        <v>38</v>
      </c>
      <c r="E19" s="3" t="s">
        <v>78</v>
      </c>
      <c r="F19" s="3" t="s">
        <v>13</v>
      </c>
      <c r="G19" s="3">
        <v>2</v>
      </c>
      <c r="H19" s="13">
        <v>18000</v>
      </c>
      <c r="I19" s="3" t="s">
        <v>14</v>
      </c>
      <c r="J19" s="7" t="s">
        <v>16</v>
      </c>
      <c r="L19" s="5">
        <v>1012</v>
      </c>
      <c r="M19" s="6">
        <v>46240</v>
      </c>
      <c r="N19" s="3" t="s">
        <v>41</v>
      </c>
      <c r="O19" s="3" t="s">
        <v>22</v>
      </c>
      <c r="P19" s="3" t="s">
        <v>12</v>
      </c>
      <c r="Q19" s="3" t="s">
        <v>13</v>
      </c>
      <c r="R19" s="3">
        <v>1</v>
      </c>
      <c r="S19" s="13">
        <v>58000</v>
      </c>
      <c r="T19" s="3" t="s">
        <v>19</v>
      </c>
      <c r="U19" s="7" t="s">
        <v>15</v>
      </c>
    </row>
    <row r="20" spans="1:21" ht="15" thickBot="1" x14ac:dyDescent="0.35">
      <c r="A20" s="5">
        <v>1013</v>
      </c>
      <c r="B20" s="6">
        <v>46241</v>
      </c>
      <c r="C20" s="3" t="s">
        <v>42</v>
      </c>
      <c r="D20" s="3" t="s">
        <v>17</v>
      </c>
      <c r="E20" s="3" t="s">
        <v>33</v>
      </c>
      <c r="F20" s="3" t="s">
        <v>13</v>
      </c>
      <c r="G20" s="3">
        <v>3</v>
      </c>
      <c r="H20" s="13">
        <v>13500</v>
      </c>
      <c r="I20" s="3" t="s">
        <v>14</v>
      </c>
      <c r="J20" s="7" t="s">
        <v>16</v>
      </c>
      <c r="L20" s="5">
        <v>1007</v>
      </c>
      <c r="M20" s="6">
        <v>46238</v>
      </c>
      <c r="N20" s="3" t="s">
        <v>34</v>
      </c>
      <c r="O20" s="3" t="s">
        <v>17</v>
      </c>
      <c r="P20" s="3" t="s">
        <v>12</v>
      </c>
      <c r="Q20" s="3" t="s">
        <v>13</v>
      </c>
      <c r="R20" s="3">
        <v>1</v>
      </c>
      <c r="S20" s="13">
        <v>62000</v>
      </c>
      <c r="T20" s="3" t="s">
        <v>19</v>
      </c>
      <c r="U20" s="7" t="s">
        <v>26</v>
      </c>
    </row>
    <row r="21" spans="1:21" ht="15" thickBot="1" x14ac:dyDescent="0.35">
      <c r="A21" s="5">
        <v>1004</v>
      </c>
      <c r="B21" s="6">
        <v>46236</v>
      </c>
      <c r="C21" s="3" t="s">
        <v>27</v>
      </c>
      <c r="D21" s="3" t="s">
        <v>11</v>
      </c>
      <c r="E21" s="3" t="s">
        <v>28</v>
      </c>
      <c r="F21" s="3" t="s">
        <v>24</v>
      </c>
      <c r="G21" s="3">
        <v>4</v>
      </c>
      <c r="H21" s="13">
        <v>800</v>
      </c>
      <c r="I21" s="3" t="s">
        <v>14</v>
      </c>
      <c r="J21" s="7" t="s">
        <v>15</v>
      </c>
      <c r="L21" s="5">
        <v>1003</v>
      </c>
      <c r="M21" s="6">
        <v>46236</v>
      </c>
      <c r="N21" s="3" t="s">
        <v>21</v>
      </c>
      <c r="O21" s="3" t="s">
        <v>22</v>
      </c>
      <c r="P21" s="3" t="s">
        <v>23</v>
      </c>
      <c r="Q21" s="3" t="s">
        <v>24</v>
      </c>
      <c r="R21" s="3">
        <v>5</v>
      </c>
      <c r="S21" s="13">
        <v>1200</v>
      </c>
      <c r="T21" s="3" t="s">
        <v>25</v>
      </c>
      <c r="U21" s="7" t="s">
        <v>26</v>
      </c>
    </row>
    <row r="22" spans="1:21" ht="15" thickBot="1" x14ac:dyDescent="0.35">
      <c r="A22" s="5">
        <v>1005</v>
      </c>
      <c r="B22" s="6">
        <v>46237</v>
      </c>
      <c r="C22" s="3" t="s">
        <v>29</v>
      </c>
      <c r="D22" s="3" t="s">
        <v>30</v>
      </c>
      <c r="E22" s="3" t="s">
        <v>31</v>
      </c>
      <c r="F22" s="3" t="s">
        <v>24</v>
      </c>
      <c r="G22" s="3">
        <v>2</v>
      </c>
      <c r="H22" s="13">
        <v>2500</v>
      </c>
      <c r="I22" s="3" t="s">
        <v>19</v>
      </c>
      <c r="J22" s="7" t="s">
        <v>16</v>
      </c>
      <c r="L22" s="5">
        <v>1014</v>
      </c>
      <c r="M22" s="6">
        <v>46241</v>
      </c>
      <c r="N22" s="3" t="s">
        <v>43</v>
      </c>
      <c r="O22" s="3" t="s">
        <v>38</v>
      </c>
      <c r="P22" s="3" t="s">
        <v>31</v>
      </c>
      <c r="Q22" s="3" t="s">
        <v>24</v>
      </c>
      <c r="R22" s="3">
        <v>4</v>
      </c>
      <c r="S22" s="13">
        <v>2200</v>
      </c>
      <c r="T22" s="3" t="s">
        <v>25</v>
      </c>
      <c r="U22" s="7" t="s">
        <v>20</v>
      </c>
    </row>
    <row r="23" spans="1:21" ht="14.4" customHeight="1" x14ac:dyDescent="0.3"/>
    <row r="25" spans="1:21" ht="15" thickBot="1" x14ac:dyDescent="0.35">
      <c r="B25" s="41" t="s">
        <v>86</v>
      </c>
      <c r="C25" s="42"/>
      <c r="D25" s="42"/>
      <c r="E25" s="42"/>
      <c r="F25" s="42"/>
      <c r="G25" s="42"/>
      <c r="H25" s="42"/>
      <c r="I25" s="42"/>
      <c r="J25" s="42"/>
      <c r="K25" s="42"/>
    </row>
    <row r="26" spans="1:21" ht="15.6" thickTop="1" thickBot="1" x14ac:dyDescent="0.35">
      <c r="B26" s="4" t="s">
        <v>0</v>
      </c>
      <c r="C26" s="1" t="s">
        <v>1</v>
      </c>
      <c r="D26" s="1" t="s">
        <v>2</v>
      </c>
      <c r="E26" s="1" t="s">
        <v>3</v>
      </c>
      <c r="F26" s="1" t="s">
        <v>4</v>
      </c>
      <c r="G26" s="1" t="s">
        <v>5</v>
      </c>
      <c r="H26" s="1" t="s">
        <v>6</v>
      </c>
      <c r="I26" s="12" t="s">
        <v>7</v>
      </c>
      <c r="J26" s="1" t="s">
        <v>8</v>
      </c>
      <c r="K26" s="2" t="s">
        <v>9</v>
      </c>
    </row>
    <row r="27" spans="1:21" ht="15" thickBot="1" x14ac:dyDescent="0.35">
      <c r="B27" s="5">
        <v>1014</v>
      </c>
      <c r="C27" s="6">
        <v>46241</v>
      </c>
      <c r="D27" s="3" t="s">
        <v>43</v>
      </c>
      <c r="E27" s="3" t="s">
        <v>38</v>
      </c>
      <c r="F27" s="3" t="s">
        <v>31</v>
      </c>
      <c r="G27" s="3" t="s">
        <v>24</v>
      </c>
      <c r="H27" s="3">
        <v>4</v>
      </c>
      <c r="I27" s="13">
        <v>2200</v>
      </c>
      <c r="J27" s="3" t="s">
        <v>25</v>
      </c>
      <c r="K27" s="7" t="s">
        <v>20</v>
      </c>
    </row>
    <row r="28" spans="1:21" ht="15" thickBot="1" x14ac:dyDescent="0.35">
      <c r="B28" s="5">
        <v>1003</v>
      </c>
      <c r="C28" s="6">
        <v>46236</v>
      </c>
      <c r="D28" s="3" t="s">
        <v>21</v>
      </c>
      <c r="E28" s="3" t="s">
        <v>22</v>
      </c>
      <c r="F28" s="3" t="s">
        <v>23</v>
      </c>
      <c r="G28" s="3" t="s">
        <v>24</v>
      </c>
      <c r="H28" s="3">
        <v>5</v>
      </c>
      <c r="I28" s="13">
        <v>1200</v>
      </c>
      <c r="J28" s="3" t="s">
        <v>25</v>
      </c>
      <c r="K28" s="7" t="s">
        <v>26</v>
      </c>
    </row>
    <row r="29" spans="1:21" ht="15" thickBot="1" x14ac:dyDescent="0.35">
      <c r="B29" s="5">
        <v>1007</v>
      </c>
      <c r="C29" s="6">
        <v>46238</v>
      </c>
      <c r="D29" s="3" t="s">
        <v>34</v>
      </c>
      <c r="E29" s="3" t="s">
        <v>17</v>
      </c>
      <c r="F29" s="3" t="s">
        <v>12</v>
      </c>
      <c r="G29" s="3" t="s">
        <v>13</v>
      </c>
      <c r="H29" s="3">
        <v>1</v>
      </c>
      <c r="I29" s="13">
        <v>62000</v>
      </c>
      <c r="J29" s="3" t="s">
        <v>19</v>
      </c>
      <c r="K29" s="7" t="s">
        <v>26</v>
      </c>
    </row>
    <row r="30" spans="1:21" ht="15" thickBot="1" x14ac:dyDescent="0.35">
      <c r="B30" s="5">
        <v>1012</v>
      </c>
      <c r="C30" s="6">
        <v>46240</v>
      </c>
      <c r="D30" s="3" t="s">
        <v>41</v>
      </c>
      <c r="E30" s="3" t="s">
        <v>22</v>
      </c>
      <c r="F30" s="3" t="s">
        <v>12</v>
      </c>
      <c r="G30" s="3" t="s">
        <v>13</v>
      </c>
      <c r="H30" s="3">
        <v>1</v>
      </c>
      <c r="I30" s="13">
        <v>58000</v>
      </c>
      <c r="J30" s="3" t="s">
        <v>19</v>
      </c>
      <c r="K30" s="7" t="s">
        <v>15</v>
      </c>
    </row>
    <row r="31" spans="1:21" ht="15" thickBot="1" x14ac:dyDescent="0.35">
      <c r="B31" s="5">
        <v>1008</v>
      </c>
      <c r="C31" s="6">
        <v>46238</v>
      </c>
      <c r="D31" s="3" t="s">
        <v>35</v>
      </c>
      <c r="E31" s="3" t="s">
        <v>11</v>
      </c>
      <c r="F31" s="3" t="s">
        <v>36</v>
      </c>
      <c r="G31" s="3" t="s">
        <v>13</v>
      </c>
      <c r="H31" s="3">
        <v>2</v>
      </c>
      <c r="I31" s="13">
        <v>9500</v>
      </c>
      <c r="J31" s="3" t="s">
        <v>25</v>
      </c>
      <c r="K31" s="7" t="s">
        <v>15</v>
      </c>
    </row>
    <row r="32" spans="1:21" ht="15" thickBot="1" x14ac:dyDescent="0.35">
      <c r="B32" s="5">
        <v>1015</v>
      </c>
      <c r="C32" s="6">
        <v>46242</v>
      </c>
      <c r="D32" s="3" t="s">
        <v>44</v>
      </c>
      <c r="E32" s="3" t="s">
        <v>30</v>
      </c>
      <c r="F32" s="3" t="s">
        <v>36</v>
      </c>
      <c r="G32" s="3" t="s">
        <v>13</v>
      </c>
      <c r="H32" s="3">
        <v>1</v>
      </c>
      <c r="I32" s="13">
        <v>11000</v>
      </c>
      <c r="J32" s="3" t="s">
        <v>19</v>
      </c>
      <c r="K32" s="7" t="s">
        <v>26</v>
      </c>
    </row>
    <row r="33" spans="2:11" ht="15" thickBot="1" x14ac:dyDescent="0.35">
      <c r="B33" s="5">
        <v>1010</v>
      </c>
      <c r="C33" s="6">
        <v>46239</v>
      </c>
      <c r="D33" s="3" t="s">
        <v>39</v>
      </c>
      <c r="E33" s="3" t="s">
        <v>30</v>
      </c>
      <c r="F33" s="3" t="s">
        <v>23</v>
      </c>
      <c r="G33" s="3" t="s">
        <v>24</v>
      </c>
      <c r="H33" s="3">
        <v>3</v>
      </c>
      <c r="I33" s="13">
        <v>1500</v>
      </c>
      <c r="J33" s="3" t="s">
        <v>19</v>
      </c>
      <c r="K33" s="7" t="s">
        <v>20</v>
      </c>
    </row>
    <row r="34" spans="2:11" ht="15" thickBot="1" x14ac:dyDescent="0.35">
      <c r="B34" s="5">
        <v>1011</v>
      </c>
      <c r="C34" s="6">
        <v>46240</v>
      </c>
      <c r="D34" s="3" t="s">
        <v>40</v>
      </c>
      <c r="E34" s="3" t="s">
        <v>11</v>
      </c>
      <c r="F34" s="3" t="s">
        <v>28</v>
      </c>
      <c r="G34" s="3" t="s">
        <v>24</v>
      </c>
      <c r="H34" s="3">
        <v>6</v>
      </c>
      <c r="I34" s="13">
        <v>700</v>
      </c>
      <c r="J34" s="3" t="s">
        <v>14</v>
      </c>
      <c r="K34" s="7" t="s">
        <v>26</v>
      </c>
    </row>
    <row r="35" spans="2:11" ht="15" thickBot="1" x14ac:dyDescent="0.35">
      <c r="B35" s="5">
        <v>1006</v>
      </c>
      <c r="C35" s="6">
        <v>46237</v>
      </c>
      <c r="D35" s="3" t="s">
        <v>32</v>
      </c>
      <c r="E35" s="3" t="s">
        <v>22</v>
      </c>
      <c r="F35" s="3" t="s">
        <v>33</v>
      </c>
      <c r="G35" s="3" t="s">
        <v>13</v>
      </c>
      <c r="H35" s="3">
        <v>2</v>
      </c>
      <c r="I35" s="13">
        <v>15000</v>
      </c>
      <c r="J35" s="3" t="s">
        <v>14</v>
      </c>
      <c r="K35" s="7" t="s">
        <v>20</v>
      </c>
    </row>
    <row r="36" spans="2:11" ht="15" thickBot="1" x14ac:dyDescent="0.35">
      <c r="B36" s="5">
        <v>1002</v>
      </c>
      <c r="C36" s="6">
        <v>46235</v>
      </c>
      <c r="D36" s="3" t="s">
        <v>16</v>
      </c>
      <c r="E36" s="3" t="s">
        <v>17</v>
      </c>
      <c r="F36" s="3" t="s">
        <v>18</v>
      </c>
      <c r="G36" s="3" t="s">
        <v>13</v>
      </c>
      <c r="H36" s="3">
        <v>3</v>
      </c>
      <c r="I36" s="13">
        <v>22000</v>
      </c>
      <c r="J36" s="3" t="s">
        <v>19</v>
      </c>
      <c r="K36" s="7" t="s">
        <v>20</v>
      </c>
    </row>
    <row r="37" spans="2:11" ht="15" thickBot="1" x14ac:dyDescent="0.35">
      <c r="B37" s="5">
        <v>1001</v>
      </c>
      <c r="C37" s="6">
        <v>46235</v>
      </c>
      <c r="D37" s="3" t="s">
        <v>10</v>
      </c>
      <c r="E37" s="3" t="s">
        <v>11</v>
      </c>
      <c r="F37" s="3" t="s">
        <v>12</v>
      </c>
      <c r="G37" s="3" t="s">
        <v>13</v>
      </c>
      <c r="H37" s="3">
        <v>2</v>
      </c>
      <c r="I37" s="13">
        <v>55000</v>
      </c>
      <c r="J37" s="3" t="s">
        <v>14</v>
      </c>
      <c r="K37" s="7" t="s">
        <v>15</v>
      </c>
    </row>
    <row r="38" spans="2:11" ht="15" thickBot="1" x14ac:dyDescent="0.35">
      <c r="B38" s="5">
        <v>1009</v>
      </c>
      <c r="C38" s="6">
        <v>46239</v>
      </c>
      <c r="D38" s="3" t="s">
        <v>37</v>
      </c>
      <c r="E38" s="3" t="s">
        <v>38</v>
      </c>
      <c r="F38" s="3" t="s">
        <v>78</v>
      </c>
      <c r="G38" s="3" t="s">
        <v>13</v>
      </c>
      <c r="H38" s="3">
        <v>2</v>
      </c>
      <c r="I38" s="13">
        <v>18000</v>
      </c>
      <c r="J38" s="3" t="s">
        <v>14</v>
      </c>
      <c r="K38" s="7" t="s">
        <v>16</v>
      </c>
    </row>
    <row r="39" spans="2:11" ht="15" thickBot="1" x14ac:dyDescent="0.35">
      <c r="B39" s="5">
        <v>1013</v>
      </c>
      <c r="C39" s="6">
        <v>46241</v>
      </c>
      <c r="D39" s="3" t="s">
        <v>42</v>
      </c>
      <c r="E39" s="3" t="s">
        <v>17</v>
      </c>
      <c r="F39" s="3" t="s">
        <v>33</v>
      </c>
      <c r="G39" s="3" t="s">
        <v>13</v>
      </c>
      <c r="H39" s="3">
        <v>3</v>
      </c>
      <c r="I39" s="13">
        <v>13500</v>
      </c>
      <c r="J39" s="3" t="s">
        <v>14</v>
      </c>
      <c r="K39" s="7" t="s">
        <v>16</v>
      </c>
    </row>
    <row r="40" spans="2:11" ht="15" thickBot="1" x14ac:dyDescent="0.35">
      <c r="B40" s="5">
        <v>1004</v>
      </c>
      <c r="C40" s="6">
        <v>46236</v>
      </c>
      <c r="D40" s="3" t="s">
        <v>27</v>
      </c>
      <c r="E40" s="3" t="s">
        <v>11</v>
      </c>
      <c r="F40" s="3" t="s">
        <v>28</v>
      </c>
      <c r="G40" s="3" t="s">
        <v>24</v>
      </c>
      <c r="H40" s="3">
        <v>4</v>
      </c>
      <c r="I40" s="13">
        <v>800</v>
      </c>
      <c r="J40" s="3" t="s">
        <v>14</v>
      </c>
      <c r="K40" s="7" t="s">
        <v>15</v>
      </c>
    </row>
    <row r="41" spans="2:11" ht="15" thickBot="1" x14ac:dyDescent="0.35">
      <c r="B41" s="5">
        <v>1005</v>
      </c>
      <c r="C41" s="6">
        <v>46237</v>
      </c>
      <c r="D41" s="3" t="s">
        <v>29</v>
      </c>
      <c r="E41" s="3" t="s">
        <v>30</v>
      </c>
      <c r="F41" s="3" t="s">
        <v>31</v>
      </c>
      <c r="G41" s="3" t="s">
        <v>24</v>
      </c>
      <c r="H41" s="3">
        <v>2</v>
      </c>
      <c r="I41" s="13">
        <v>2500</v>
      </c>
      <c r="J41" s="3" t="s">
        <v>19</v>
      </c>
      <c r="K41" s="7" t="s">
        <v>16</v>
      </c>
    </row>
    <row r="61" ht="29.4" customHeight="1" x14ac:dyDescent="0.3"/>
    <row r="63" ht="29.4" customHeight="1" x14ac:dyDescent="0.3"/>
    <row r="64" ht="29.4" customHeight="1" x14ac:dyDescent="0.3"/>
    <row r="68" ht="29.4" customHeight="1" x14ac:dyDescent="0.3"/>
    <row r="69" ht="29.4" customHeight="1" x14ac:dyDescent="0.3"/>
    <row r="71" ht="29.4" customHeight="1" x14ac:dyDescent="0.3"/>
    <row r="74" ht="29.4" customHeight="1" x14ac:dyDescent="0.3"/>
    <row r="75" ht="29.4" customHeight="1" x14ac:dyDescent="0.3"/>
    <row r="76" ht="29.4" customHeight="1" x14ac:dyDescent="0.3"/>
    <row r="79" ht="29.4" customHeight="1" x14ac:dyDescent="0.3"/>
    <row r="80" ht="29.4" customHeight="1" x14ac:dyDescent="0.3"/>
    <row r="83" ht="29.4" customHeight="1" x14ac:dyDescent="0.3"/>
    <row r="84" ht="29.4" customHeight="1" x14ac:dyDescent="0.3"/>
    <row r="85" ht="29.4" customHeight="1" x14ac:dyDescent="0.3"/>
    <row r="86" ht="29.4" customHeight="1" x14ac:dyDescent="0.3"/>
    <row r="87" ht="29.4" customHeight="1" x14ac:dyDescent="0.3"/>
    <row r="89" ht="29.4" customHeight="1" x14ac:dyDescent="0.3"/>
    <row r="90" ht="29.4" customHeight="1" x14ac:dyDescent="0.3"/>
    <row r="91" ht="29.4" customHeight="1" x14ac:dyDescent="0.3"/>
    <row r="92" ht="29.4" customHeight="1" x14ac:dyDescent="0.3"/>
    <row r="93" ht="29.4" customHeight="1" x14ac:dyDescent="0.3"/>
    <row r="94" ht="29.4" customHeight="1" x14ac:dyDescent="0.3"/>
    <row r="95" ht="29.4" customHeight="1" x14ac:dyDescent="0.3"/>
    <row r="96" ht="29.4" customHeight="1" x14ac:dyDescent="0.3"/>
    <row r="97" ht="29.4" customHeight="1" x14ac:dyDescent="0.3"/>
    <row r="98" ht="29.4" customHeight="1" x14ac:dyDescent="0.3"/>
    <row r="99" ht="29.4" customHeight="1" x14ac:dyDescent="0.3"/>
    <row r="100" ht="29.4" customHeight="1" x14ac:dyDescent="0.3"/>
    <row r="101" ht="29.4" customHeight="1" x14ac:dyDescent="0.3"/>
    <row r="102" ht="29.4" customHeight="1" x14ac:dyDescent="0.3"/>
    <row r="103" ht="29.4" customHeight="1" x14ac:dyDescent="0.3"/>
    <row r="104" ht="29.4" customHeight="1" x14ac:dyDescent="0.3"/>
    <row r="105" ht="29.4" customHeight="1" x14ac:dyDescent="0.3"/>
    <row r="106" ht="29.4" customHeight="1" x14ac:dyDescent="0.3"/>
    <row r="107" ht="29.4" customHeight="1" x14ac:dyDescent="0.3"/>
  </sheetData>
  <sortState xmlns:xlrd2="http://schemas.microsoft.com/office/spreadsheetml/2017/richdata2" ref="B27:K41">
    <sortCondition ref="D27:D41"/>
    <sortCondition ref="F27:F41" customList="Electronics,Accessories"/>
  </sortState>
  <mergeCells count="8">
    <mergeCell ref="A1:J1"/>
    <mergeCell ref="L6:U6"/>
    <mergeCell ref="B25:K25"/>
    <mergeCell ref="A2:J2"/>
    <mergeCell ref="A3:J3"/>
    <mergeCell ref="A4:J4"/>
    <mergeCell ref="A5:J5"/>
    <mergeCell ref="A6:J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B533E-18A7-40D7-AAA9-B8DBAF09F5A4}">
  <sheetPr filterMode="1"/>
  <dimension ref="A1:J53"/>
  <sheetViews>
    <sheetView workbookViewId="0">
      <selection activeCell="A2" sqref="A2:J2"/>
    </sheetView>
  </sheetViews>
  <sheetFormatPr defaultRowHeight="14.4" x14ac:dyDescent="0.3"/>
  <cols>
    <col min="1" max="1" width="7.5546875" bestFit="1" customWidth="1"/>
    <col min="2" max="2" width="10.33203125" bestFit="1" customWidth="1"/>
    <col min="3" max="3" width="9.109375" bestFit="1" customWidth="1"/>
    <col min="4" max="4" width="8.21875" bestFit="1" customWidth="1"/>
    <col min="5" max="5" width="11.109375" bestFit="1" customWidth="1"/>
    <col min="6" max="6" width="10.44140625" bestFit="1" customWidth="1"/>
    <col min="7" max="7" width="8.33203125" bestFit="1" customWidth="1"/>
    <col min="8" max="8" width="11.44140625" bestFit="1" customWidth="1"/>
    <col min="9" max="9" width="13.6640625" bestFit="1" customWidth="1"/>
    <col min="10" max="10" width="11" bestFit="1" customWidth="1"/>
    <col min="12" max="12" width="7.5546875" bestFit="1" customWidth="1"/>
    <col min="13" max="13" width="10.33203125" bestFit="1" customWidth="1"/>
    <col min="14" max="14" width="9.109375" bestFit="1" customWidth="1"/>
    <col min="15" max="15" width="8.21875" bestFit="1" customWidth="1"/>
    <col min="16" max="16" width="11.109375" bestFit="1" customWidth="1"/>
    <col min="17" max="17" width="10.44140625" bestFit="1" customWidth="1"/>
    <col min="18" max="18" width="8.33203125" bestFit="1" customWidth="1"/>
    <col min="19" max="19" width="11.44140625" bestFit="1" customWidth="1"/>
    <col min="20" max="20" width="13.6640625" bestFit="1" customWidth="1"/>
    <col min="21" max="21" width="11" bestFit="1" customWidth="1"/>
  </cols>
  <sheetData>
    <row r="1" spans="1:10" ht="18.600000000000001" thickBot="1" x14ac:dyDescent="0.4">
      <c r="A1" s="43" t="s">
        <v>88</v>
      </c>
      <c r="B1" s="44"/>
      <c r="C1" s="44"/>
      <c r="D1" s="44"/>
      <c r="E1" s="44"/>
      <c r="F1" s="44"/>
      <c r="G1" s="44"/>
      <c r="H1" s="44"/>
      <c r="I1" s="44"/>
      <c r="J1" s="44"/>
    </row>
    <row r="2" spans="1:10" ht="15.6" thickTop="1" thickBot="1" x14ac:dyDescent="0.35">
      <c r="A2" s="4" t="s">
        <v>0</v>
      </c>
      <c r="B2" s="1" t="s">
        <v>1</v>
      </c>
      <c r="C2" s="1" t="s">
        <v>2</v>
      </c>
      <c r="D2" s="1" t="s">
        <v>3</v>
      </c>
      <c r="E2" s="1" t="s">
        <v>4</v>
      </c>
      <c r="F2" s="1" t="s">
        <v>5</v>
      </c>
      <c r="G2" s="1" t="s">
        <v>6</v>
      </c>
      <c r="H2" s="12" t="s">
        <v>7</v>
      </c>
      <c r="I2" s="1" t="s">
        <v>8</v>
      </c>
      <c r="J2" s="2" t="s">
        <v>9</v>
      </c>
    </row>
    <row r="3" spans="1:10" ht="15" hidden="1" thickBot="1" x14ac:dyDescent="0.35">
      <c r="A3" s="5">
        <v>1001</v>
      </c>
      <c r="B3" s="6">
        <v>46235</v>
      </c>
      <c r="C3" s="3" t="s">
        <v>10</v>
      </c>
      <c r="D3" s="3" t="s">
        <v>11</v>
      </c>
      <c r="E3" s="3" t="s">
        <v>12</v>
      </c>
      <c r="F3" s="3" t="s">
        <v>13</v>
      </c>
      <c r="G3" s="3">
        <v>2</v>
      </c>
      <c r="H3" s="13">
        <v>55000</v>
      </c>
      <c r="I3" s="3" t="s">
        <v>14</v>
      </c>
      <c r="J3" s="7" t="s">
        <v>15</v>
      </c>
    </row>
    <row r="4" spans="1:10" ht="15" hidden="1" thickBot="1" x14ac:dyDescent="0.35">
      <c r="A4" s="5">
        <v>1002</v>
      </c>
      <c r="B4" s="6">
        <v>46235</v>
      </c>
      <c r="C4" s="3" t="s">
        <v>16</v>
      </c>
      <c r="D4" s="3" t="s">
        <v>17</v>
      </c>
      <c r="E4" s="3" t="s">
        <v>18</v>
      </c>
      <c r="F4" s="3" t="s">
        <v>13</v>
      </c>
      <c r="G4" s="3">
        <v>3</v>
      </c>
      <c r="H4" s="13">
        <v>22000</v>
      </c>
      <c r="I4" s="3" t="s">
        <v>19</v>
      </c>
      <c r="J4" s="7" t="s">
        <v>20</v>
      </c>
    </row>
    <row r="5" spans="1:10" ht="15" thickBot="1" x14ac:dyDescent="0.35">
      <c r="A5" s="5">
        <v>1003</v>
      </c>
      <c r="B5" s="6">
        <v>46236</v>
      </c>
      <c r="C5" s="3" t="s">
        <v>21</v>
      </c>
      <c r="D5" s="3" t="s">
        <v>22</v>
      </c>
      <c r="E5" s="3" t="s">
        <v>23</v>
      </c>
      <c r="F5" s="3" t="s">
        <v>24</v>
      </c>
      <c r="G5" s="3">
        <v>5</v>
      </c>
      <c r="H5" s="13">
        <v>1200</v>
      </c>
      <c r="I5" s="3" t="s">
        <v>25</v>
      </c>
      <c r="J5" s="7" t="s">
        <v>26</v>
      </c>
    </row>
    <row r="6" spans="1:10" ht="15" thickBot="1" x14ac:dyDescent="0.35">
      <c r="A6" s="5">
        <v>1004</v>
      </c>
      <c r="B6" s="6">
        <v>46236</v>
      </c>
      <c r="C6" s="3" t="s">
        <v>27</v>
      </c>
      <c r="D6" s="3" t="s">
        <v>11</v>
      </c>
      <c r="E6" s="3" t="s">
        <v>28</v>
      </c>
      <c r="F6" s="3" t="s">
        <v>24</v>
      </c>
      <c r="G6" s="3">
        <v>4</v>
      </c>
      <c r="H6" s="13">
        <v>800</v>
      </c>
      <c r="I6" s="3" t="s">
        <v>14</v>
      </c>
      <c r="J6" s="7" t="s">
        <v>15</v>
      </c>
    </row>
    <row r="7" spans="1:10" ht="15" thickBot="1" x14ac:dyDescent="0.35">
      <c r="A7" s="5">
        <v>1005</v>
      </c>
      <c r="B7" s="6">
        <v>46237</v>
      </c>
      <c r="C7" s="3" t="s">
        <v>29</v>
      </c>
      <c r="D7" s="3" t="s">
        <v>30</v>
      </c>
      <c r="E7" s="3" t="s">
        <v>31</v>
      </c>
      <c r="F7" s="3" t="s">
        <v>24</v>
      </c>
      <c r="G7" s="3">
        <v>2</v>
      </c>
      <c r="H7" s="13">
        <v>2500</v>
      </c>
      <c r="I7" s="3" t="s">
        <v>19</v>
      </c>
      <c r="J7" s="7" t="s">
        <v>16</v>
      </c>
    </row>
    <row r="8" spans="1:10" ht="15" hidden="1" thickBot="1" x14ac:dyDescent="0.35">
      <c r="A8" s="5">
        <v>1006</v>
      </c>
      <c r="B8" s="6">
        <v>46237</v>
      </c>
      <c r="C8" s="3" t="s">
        <v>32</v>
      </c>
      <c r="D8" s="3" t="s">
        <v>22</v>
      </c>
      <c r="E8" s="3" t="s">
        <v>33</v>
      </c>
      <c r="F8" s="3" t="s">
        <v>13</v>
      </c>
      <c r="G8" s="3">
        <v>2</v>
      </c>
      <c r="H8" s="13">
        <v>15000</v>
      </c>
      <c r="I8" s="3" t="s">
        <v>14</v>
      </c>
      <c r="J8" s="7" t="s">
        <v>20</v>
      </c>
    </row>
    <row r="9" spans="1:10" ht="15" hidden="1" thickBot="1" x14ac:dyDescent="0.35">
      <c r="A9" s="5">
        <v>1007</v>
      </c>
      <c r="B9" s="6">
        <v>46238</v>
      </c>
      <c r="C9" s="3" t="s">
        <v>34</v>
      </c>
      <c r="D9" s="3" t="s">
        <v>17</v>
      </c>
      <c r="E9" s="3" t="s">
        <v>12</v>
      </c>
      <c r="F9" s="3" t="s">
        <v>13</v>
      </c>
      <c r="G9" s="3">
        <v>1</v>
      </c>
      <c r="H9" s="13">
        <v>62000</v>
      </c>
      <c r="I9" s="3" t="s">
        <v>19</v>
      </c>
      <c r="J9" s="7" t="s">
        <v>26</v>
      </c>
    </row>
    <row r="10" spans="1:10" ht="15" hidden="1" thickBot="1" x14ac:dyDescent="0.35">
      <c r="A10" s="5">
        <v>1008</v>
      </c>
      <c r="B10" s="6">
        <v>46238</v>
      </c>
      <c r="C10" s="3" t="s">
        <v>35</v>
      </c>
      <c r="D10" s="3" t="s">
        <v>11</v>
      </c>
      <c r="E10" s="3" t="s">
        <v>36</v>
      </c>
      <c r="F10" s="3" t="s">
        <v>13</v>
      </c>
      <c r="G10" s="3">
        <v>2</v>
      </c>
      <c r="H10" s="13">
        <v>9500</v>
      </c>
      <c r="I10" s="3" t="s">
        <v>25</v>
      </c>
      <c r="J10" s="7" t="s">
        <v>15</v>
      </c>
    </row>
    <row r="11" spans="1:10" ht="15" hidden="1" thickBot="1" x14ac:dyDescent="0.35">
      <c r="A11" s="5">
        <v>1009</v>
      </c>
      <c r="B11" s="6">
        <v>46239</v>
      </c>
      <c r="C11" s="3" t="s">
        <v>37</v>
      </c>
      <c r="D11" s="3" t="s">
        <v>38</v>
      </c>
      <c r="E11" s="3" t="s">
        <v>78</v>
      </c>
      <c r="F11" s="3" t="s">
        <v>13</v>
      </c>
      <c r="G11" s="3">
        <v>2</v>
      </c>
      <c r="H11" s="13">
        <v>18000</v>
      </c>
      <c r="I11" s="3" t="s">
        <v>14</v>
      </c>
      <c r="J11" s="7" t="s">
        <v>16</v>
      </c>
    </row>
    <row r="12" spans="1:10" ht="15" thickBot="1" x14ac:dyDescent="0.35">
      <c r="A12" s="5">
        <v>1010</v>
      </c>
      <c r="B12" s="6">
        <v>46239</v>
      </c>
      <c r="C12" s="3" t="s">
        <v>39</v>
      </c>
      <c r="D12" s="3" t="s">
        <v>30</v>
      </c>
      <c r="E12" s="3" t="s">
        <v>23</v>
      </c>
      <c r="F12" s="3" t="s">
        <v>24</v>
      </c>
      <c r="G12" s="3">
        <v>3</v>
      </c>
      <c r="H12" s="13">
        <v>1500</v>
      </c>
      <c r="I12" s="3" t="s">
        <v>19</v>
      </c>
      <c r="J12" s="7" t="s">
        <v>20</v>
      </c>
    </row>
    <row r="13" spans="1:10" ht="15" thickBot="1" x14ac:dyDescent="0.35">
      <c r="A13" s="5">
        <v>1011</v>
      </c>
      <c r="B13" s="6">
        <v>46240</v>
      </c>
      <c r="C13" s="3" t="s">
        <v>40</v>
      </c>
      <c r="D13" s="3" t="s">
        <v>11</v>
      </c>
      <c r="E13" s="3" t="s">
        <v>28</v>
      </c>
      <c r="F13" s="3" t="s">
        <v>24</v>
      </c>
      <c r="G13" s="3">
        <v>6</v>
      </c>
      <c r="H13" s="13">
        <v>700</v>
      </c>
      <c r="I13" s="3" t="s">
        <v>14</v>
      </c>
      <c r="J13" s="7" t="s">
        <v>26</v>
      </c>
    </row>
    <row r="14" spans="1:10" ht="15" hidden="1" thickBot="1" x14ac:dyDescent="0.35">
      <c r="A14" s="5">
        <v>1012</v>
      </c>
      <c r="B14" s="6">
        <v>46240</v>
      </c>
      <c r="C14" s="3" t="s">
        <v>41</v>
      </c>
      <c r="D14" s="3" t="s">
        <v>22</v>
      </c>
      <c r="E14" s="3" t="s">
        <v>12</v>
      </c>
      <c r="F14" s="3" t="s">
        <v>13</v>
      </c>
      <c r="G14" s="3">
        <v>1</v>
      </c>
      <c r="H14" s="13">
        <v>58000</v>
      </c>
      <c r="I14" s="3" t="s">
        <v>19</v>
      </c>
      <c r="J14" s="7" t="s">
        <v>15</v>
      </c>
    </row>
    <row r="15" spans="1:10" ht="15" hidden="1" thickBot="1" x14ac:dyDescent="0.35">
      <c r="A15" s="5">
        <v>1013</v>
      </c>
      <c r="B15" s="6">
        <v>46241</v>
      </c>
      <c r="C15" s="3" t="s">
        <v>42</v>
      </c>
      <c r="D15" s="3" t="s">
        <v>17</v>
      </c>
      <c r="E15" s="3" t="s">
        <v>33</v>
      </c>
      <c r="F15" s="3" t="s">
        <v>13</v>
      </c>
      <c r="G15" s="3">
        <v>3</v>
      </c>
      <c r="H15" s="13">
        <v>13500</v>
      </c>
      <c r="I15" s="3" t="s">
        <v>14</v>
      </c>
      <c r="J15" s="7" t="s">
        <v>16</v>
      </c>
    </row>
    <row r="16" spans="1:10" ht="15" thickBot="1" x14ac:dyDescent="0.35">
      <c r="A16" s="5">
        <v>1014</v>
      </c>
      <c r="B16" s="6">
        <v>46241</v>
      </c>
      <c r="C16" s="3" t="s">
        <v>43</v>
      </c>
      <c r="D16" s="3" t="s">
        <v>38</v>
      </c>
      <c r="E16" s="3" t="s">
        <v>31</v>
      </c>
      <c r="F16" s="3" t="s">
        <v>24</v>
      </c>
      <c r="G16" s="3">
        <v>4</v>
      </c>
      <c r="H16" s="13">
        <v>2200</v>
      </c>
      <c r="I16" s="3" t="s">
        <v>25</v>
      </c>
      <c r="J16" s="7" t="s">
        <v>20</v>
      </c>
    </row>
    <row r="17" spans="1:10" ht="15" hidden="1" thickBot="1" x14ac:dyDescent="0.35">
      <c r="A17" s="5">
        <v>1015</v>
      </c>
      <c r="B17" s="6">
        <v>46242</v>
      </c>
      <c r="C17" s="3" t="s">
        <v>44</v>
      </c>
      <c r="D17" s="3" t="s">
        <v>30</v>
      </c>
      <c r="E17" s="3" t="s">
        <v>36</v>
      </c>
      <c r="F17" s="3" t="s">
        <v>13</v>
      </c>
      <c r="G17" s="3">
        <v>1</v>
      </c>
      <c r="H17" s="13">
        <v>11000</v>
      </c>
      <c r="I17" s="3" t="s">
        <v>19</v>
      </c>
      <c r="J17" s="7" t="s">
        <v>26</v>
      </c>
    </row>
    <row r="18" spans="1:10" ht="15" hidden="1" thickBot="1" x14ac:dyDescent="0.35">
      <c r="A18" s="5">
        <v>1016</v>
      </c>
      <c r="B18" s="6">
        <v>46242</v>
      </c>
      <c r="C18" s="3" t="s">
        <v>45</v>
      </c>
      <c r="D18" s="3" t="s">
        <v>87</v>
      </c>
      <c r="E18" s="3" t="s">
        <v>18</v>
      </c>
      <c r="F18" s="3" t="s">
        <v>13</v>
      </c>
      <c r="G18" s="3">
        <v>3</v>
      </c>
      <c r="H18" s="13">
        <v>25000</v>
      </c>
      <c r="I18" s="3" t="s">
        <v>14</v>
      </c>
      <c r="J18" s="7" t="s">
        <v>15</v>
      </c>
    </row>
    <row r="19" spans="1:10" ht="15" thickBot="1" x14ac:dyDescent="0.35">
      <c r="A19" s="5">
        <v>1017</v>
      </c>
      <c r="B19" s="6">
        <v>46243</v>
      </c>
      <c r="C19" s="3" t="s">
        <v>46</v>
      </c>
      <c r="D19" s="3" t="s">
        <v>22</v>
      </c>
      <c r="E19" s="3" t="s">
        <v>23</v>
      </c>
      <c r="F19" s="3" t="s">
        <v>24</v>
      </c>
      <c r="G19" s="3">
        <v>5</v>
      </c>
      <c r="H19" s="13">
        <v>1300</v>
      </c>
      <c r="I19" s="3" t="s">
        <v>25</v>
      </c>
      <c r="J19" s="7" t="s">
        <v>16</v>
      </c>
    </row>
    <row r="20" spans="1:10" ht="15" thickBot="1" x14ac:dyDescent="0.35">
      <c r="A20" s="5">
        <v>1018</v>
      </c>
      <c r="B20" s="6">
        <v>46243</v>
      </c>
      <c r="C20" s="3" t="s">
        <v>47</v>
      </c>
      <c r="D20" s="3" t="s">
        <v>17</v>
      </c>
      <c r="E20" s="3" t="s">
        <v>28</v>
      </c>
      <c r="F20" s="3" t="s">
        <v>24</v>
      </c>
      <c r="G20" s="3">
        <v>8</v>
      </c>
      <c r="H20" s="13">
        <v>650</v>
      </c>
      <c r="I20" s="3" t="s">
        <v>19</v>
      </c>
      <c r="J20" s="7" t="s">
        <v>20</v>
      </c>
    </row>
    <row r="21" spans="1:10" ht="15" hidden="1" thickBot="1" x14ac:dyDescent="0.35">
      <c r="A21" s="5">
        <v>1019</v>
      </c>
      <c r="B21" s="6">
        <v>46244</v>
      </c>
      <c r="C21" s="3" t="s">
        <v>20</v>
      </c>
      <c r="D21" s="3" t="s">
        <v>38</v>
      </c>
      <c r="E21" s="3" t="s">
        <v>12</v>
      </c>
      <c r="F21" s="3" t="s">
        <v>13</v>
      </c>
      <c r="G21" s="3">
        <v>2</v>
      </c>
      <c r="H21" s="13">
        <v>60000</v>
      </c>
      <c r="I21" s="3" t="s">
        <v>14</v>
      </c>
      <c r="J21" s="7" t="s">
        <v>26</v>
      </c>
    </row>
    <row r="22" spans="1:10" ht="15" hidden="1" thickBot="1" x14ac:dyDescent="0.35">
      <c r="A22" s="5">
        <v>1020</v>
      </c>
      <c r="B22" s="6">
        <v>46244</v>
      </c>
      <c r="C22" s="3" t="s">
        <v>48</v>
      </c>
      <c r="D22" s="3" t="s">
        <v>30</v>
      </c>
      <c r="E22" s="3" t="s">
        <v>33</v>
      </c>
      <c r="F22" s="3" t="s">
        <v>13</v>
      </c>
      <c r="G22" s="3">
        <v>1</v>
      </c>
      <c r="H22" s="13">
        <v>16000</v>
      </c>
      <c r="I22" s="3" t="s">
        <v>19</v>
      </c>
      <c r="J22" s="7" t="s">
        <v>15</v>
      </c>
    </row>
    <row r="23" spans="1:10" ht="15" hidden="1" thickBot="1" x14ac:dyDescent="0.35">
      <c r="A23" s="5">
        <v>1021</v>
      </c>
      <c r="B23" s="6">
        <v>46245</v>
      </c>
      <c r="C23" s="3" t="s">
        <v>49</v>
      </c>
      <c r="D23" s="3" t="s">
        <v>11</v>
      </c>
      <c r="E23" s="3" t="s">
        <v>36</v>
      </c>
      <c r="F23" s="3" t="s">
        <v>13</v>
      </c>
      <c r="G23" s="3">
        <v>2</v>
      </c>
      <c r="H23" s="13">
        <v>9000</v>
      </c>
      <c r="I23" s="3" t="s">
        <v>14</v>
      </c>
      <c r="J23" s="7" t="s">
        <v>16</v>
      </c>
    </row>
    <row r="24" spans="1:10" ht="15" thickBot="1" x14ac:dyDescent="0.35">
      <c r="A24" s="5">
        <v>1022</v>
      </c>
      <c r="B24" s="6">
        <v>46245</v>
      </c>
      <c r="C24" s="3" t="s">
        <v>50</v>
      </c>
      <c r="D24" s="3" t="s">
        <v>22</v>
      </c>
      <c r="E24" s="3" t="s">
        <v>31</v>
      </c>
      <c r="F24" s="3" t="s">
        <v>24</v>
      </c>
      <c r="G24" s="3">
        <v>3</v>
      </c>
      <c r="H24" s="13">
        <v>2800</v>
      </c>
      <c r="I24" s="3" t="s">
        <v>25</v>
      </c>
      <c r="J24" s="7" t="s">
        <v>20</v>
      </c>
    </row>
    <row r="25" spans="1:10" ht="15" hidden="1" thickBot="1" x14ac:dyDescent="0.35">
      <c r="A25" s="5">
        <v>1023</v>
      </c>
      <c r="B25" s="6">
        <v>46246</v>
      </c>
      <c r="C25" s="3" t="s">
        <v>51</v>
      </c>
      <c r="D25" s="3" t="s">
        <v>17</v>
      </c>
      <c r="E25" s="3" t="s">
        <v>18</v>
      </c>
      <c r="F25" s="3" t="s">
        <v>13</v>
      </c>
      <c r="G25" s="3">
        <v>2</v>
      </c>
      <c r="H25" s="13">
        <v>21000</v>
      </c>
      <c r="I25" s="3" t="s">
        <v>19</v>
      </c>
      <c r="J25" s="7" t="s">
        <v>26</v>
      </c>
    </row>
    <row r="26" spans="1:10" ht="15" thickBot="1" x14ac:dyDescent="0.35">
      <c r="A26" s="5">
        <v>1024</v>
      </c>
      <c r="B26" s="6">
        <v>46246</v>
      </c>
      <c r="C26" s="3" t="s">
        <v>52</v>
      </c>
      <c r="D26" s="3" t="s">
        <v>38</v>
      </c>
      <c r="E26" s="3" t="s">
        <v>23</v>
      </c>
      <c r="F26" s="3" t="s">
        <v>24</v>
      </c>
      <c r="G26" s="3">
        <v>4</v>
      </c>
      <c r="H26" s="13">
        <v>1400</v>
      </c>
      <c r="I26" s="3" t="s">
        <v>14</v>
      </c>
      <c r="J26" s="7" t="s">
        <v>15</v>
      </c>
    </row>
    <row r="27" spans="1:10" ht="15" thickBot="1" x14ac:dyDescent="0.35">
      <c r="A27" s="5">
        <v>1025</v>
      </c>
      <c r="B27" s="6">
        <v>46247</v>
      </c>
      <c r="C27" s="3" t="s">
        <v>53</v>
      </c>
      <c r="D27" s="3" t="s">
        <v>30</v>
      </c>
      <c r="E27" s="3" t="s">
        <v>28</v>
      </c>
      <c r="F27" s="3" t="s">
        <v>24</v>
      </c>
      <c r="G27" s="3">
        <v>5</v>
      </c>
      <c r="H27" s="13">
        <v>750</v>
      </c>
      <c r="I27" s="3" t="s">
        <v>25</v>
      </c>
      <c r="J27" s="7" t="s">
        <v>16</v>
      </c>
    </row>
    <row r="28" spans="1:10" ht="15" hidden="1" thickBot="1" x14ac:dyDescent="0.35">
      <c r="A28" s="5">
        <v>1026</v>
      </c>
      <c r="B28" s="6">
        <v>46247</v>
      </c>
      <c r="C28" s="3" t="s">
        <v>54</v>
      </c>
      <c r="D28" s="3" t="s">
        <v>11</v>
      </c>
      <c r="E28" s="3" t="s">
        <v>12</v>
      </c>
      <c r="F28" s="3" t="s">
        <v>13</v>
      </c>
      <c r="G28" s="3">
        <v>1</v>
      </c>
      <c r="H28" s="13">
        <v>65000</v>
      </c>
      <c r="I28" s="3" t="s">
        <v>19</v>
      </c>
      <c r="J28" s="7" t="s">
        <v>20</v>
      </c>
    </row>
    <row r="29" spans="1:10" ht="15" hidden="1" thickBot="1" x14ac:dyDescent="0.35">
      <c r="A29" s="5">
        <v>1027</v>
      </c>
      <c r="B29" s="6">
        <v>46248</v>
      </c>
      <c r="C29" s="3" t="s">
        <v>55</v>
      </c>
      <c r="D29" s="3" t="s">
        <v>22</v>
      </c>
      <c r="E29" s="3" t="s">
        <v>33</v>
      </c>
      <c r="F29" s="3" t="s">
        <v>13</v>
      </c>
      <c r="G29" s="3">
        <v>2</v>
      </c>
      <c r="H29" s="13">
        <v>14500</v>
      </c>
      <c r="I29" s="3" t="s">
        <v>14</v>
      </c>
      <c r="J29" s="7" t="s">
        <v>26</v>
      </c>
    </row>
    <row r="30" spans="1:10" ht="15" hidden="1" thickBot="1" x14ac:dyDescent="0.35">
      <c r="A30" s="5">
        <v>1028</v>
      </c>
      <c r="B30" s="6">
        <v>46248</v>
      </c>
      <c r="C30" s="3" t="s">
        <v>56</v>
      </c>
      <c r="D30" s="3" t="s">
        <v>17</v>
      </c>
      <c r="E30" s="3" t="s">
        <v>36</v>
      </c>
      <c r="F30" s="3" t="s">
        <v>13</v>
      </c>
      <c r="G30" s="3">
        <v>3</v>
      </c>
      <c r="H30" s="13">
        <v>8500</v>
      </c>
      <c r="I30" s="3" t="s">
        <v>19</v>
      </c>
      <c r="J30" s="7" t="s">
        <v>15</v>
      </c>
    </row>
    <row r="31" spans="1:10" ht="15" hidden="1" thickBot="1" x14ac:dyDescent="0.35">
      <c r="A31" s="5">
        <v>1029</v>
      </c>
      <c r="B31" s="6">
        <v>46249</v>
      </c>
      <c r="C31" s="3" t="s">
        <v>57</v>
      </c>
      <c r="D31" s="3" t="s">
        <v>38</v>
      </c>
      <c r="E31" s="3" t="s">
        <v>18</v>
      </c>
      <c r="F31" s="3" t="s">
        <v>13</v>
      </c>
      <c r="G31" s="3">
        <v>1</v>
      </c>
      <c r="H31" s="13">
        <v>23000</v>
      </c>
      <c r="I31" s="3" t="s">
        <v>25</v>
      </c>
      <c r="J31" s="7" t="s">
        <v>16</v>
      </c>
    </row>
    <row r="32" spans="1:10" ht="15" thickBot="1" x14ac:dyDescent="0.35">
      <c r="A32" s="5">
        <v>1030</v>
      </c>
      <c r="B32" s="6">
        <v>46249</v>
      </c>
      <c r="C32" s="3" t="s">
        <v>58</v>
      </c>
      <c r="D32" s="3" t="s">
        <v>30</v>
      </c>
      <c r="E32" s="3" t="s">
        <v>31</v>
      </c>
      <c r="F32" s="3" t="s">
        <v>24</v>
      </c>
      <c r="G32" s="3">
        <v>2</v>
      </c>
      <c r="H32" s="13">
        <v>3000</v>
      </c>
      <c r="I32" s="3" t="s">
        <v>14</v>
      </c>
      <c r="J32" s="7" t="s">
        <v>20</v>
      </c>
    </row>
    <row r="33" spans="1:10" ht="15" thickBot="1" x14ac:dyDescent="0.35">
      <c r="A33" s="5">
        <v>1031</v>
      </c>
      <c r="B33" s="6">
        <v>46250</v>
      </c>
      <c r="C33" s="3" t="s">
        <v>59</v>
      </c>
      <c r="D33" s="3" t="s">
        <v>11</v>
      </c>
      <c r="E33" s="3" t="s">
        <v>23</v>
      </c>
      <c r="F33" s="3" t="s">
        <v>24</v>
      </c>
      <c r="G33" s="3">
        <v>7</v>
      </c>
      <c r="H33" s="13">
        <v>1100</v>
      </c>
      <c r="I33" s="3" t="s">
        <v>19</v>
      </c>
      <c r="J33" s="7" t="s">
        <v>26</v>
      </c>
    </row>
    <row r="34" spans="1:10" ht="15" thickBot="1" x14ac:dyDescent="0.35">
      <c r="A34" s="5">
        <v>1032</v>
      </c>
      <c r="B34" s="6">
        <v>46250</v>
      </c>
      <c r="C34" s="3" t="s">
        <v>60</v>
      </c>
      <c r="D34" s="3" t="s">
        <v>22</v>
      </c>
      <c r="E34" s="3" t="s">
        <v>28</v>
      </c>
      <c r="F34" s="3" t="s">
        <v>24</v>
      </c>
      <c r="G34" s="3">
        <v>4</v>
      </c>
      <c r="H34" s="13">
        <v>900</v>
      </c>
      <c r="I34" s="3" t="s">
        <v>14</v>
      </c>
      <c r="J34" s="7" t="s">
        <v>15</v>
      </c>
    </row>
    <row r="35" spans="1:10" ht="15" hidden="1" thickBot="1" x14ac:dyDescent="0.35">
      <c r="A35" s="5">
        <v>1033</v>
      </c>
      <c r="B35" s="6">
        <v>46251</v>
      </c>
      <c r="C35" s="3" t="s">
        <v>61</v>
      </c>
      <c r="D35" s="3" t="s">
        <v>17</v>
      </c>
      <c r="E35" s="3" t="s">
        <v>12</v>
      </c>
      <c r="F35" s="3" t="s">
        <v>13</v>
      </c>
      <c r="G35" s="3">
        <v>2</v>
      </c>
      <c r="H35" s="13">
        <v>57000</v>
      </c>
      <c r="I35" s="3" t="s">
        <v>19</v>
      </c>
      <c r="J35" s="7" t="s">
        <v>16</v>
      </c>
    </row>
    <row r="36" spans="1:10" ht="15" hidden="1" thickBot="1" x14ac:dyDescent="0.35">
      <c r="A36" s="5">
        <v>1034</v>
      </c>
      <c r="B36" s="6">
        <v>46251</v>
      </c>
      <c r="C36" s="3" t="s">
        <v>62</v>
      </c>
      <c r="D36" s="3" t="s">
        <v>38</v>
      </c>
      <c r="E36" s="3" t="s">
        <v>33</v>
      </c>
      <c r="F36" s="3" t="s">
        <v>13</v>
      </c>
      <c r="G36" s="3">
        <v>1</v>
      </c>
      <c r="H36" s="13">
        <v>15500</v>
      </c>
      <c r="I36" s="3" t="s">
        <v>25</v>
      </c>
      <c r="J36" s="7" t="s">
        <v>20</v>
      </c>
    </row>
    <row r="37" spans="1:10" ht="15" hidden="1" thickBot="1" x14ac:dyDescent="0.35">
      <c r="A37" s="5">
        <v>1035</v>
      </c>
      <c r="B37" s="6">
        <v>46252</v>
      </c>
      <c r="C37" s="3" t="s">
        <v>63</v>
      </c>
      <c r="D37" s="3" t="s">
        <v>30</v>
      </c>
      <c r="E37" s="3" t="s">
        <v>36</v>
      </c>
      <c r="F37" s="3" t="s">
        <v>13</v>
      </c>
      <c r="G37" s="3">
        <v>2</v>
      </c>
      <c r="H37" s="13">
        <v>10000</v>
      </c>
      <c r="I37" s="3" t="s">
        <v>14</v>
      </c>
      <c r="J37" s="7" t="s">
        <v>26</v>
      </c>
    </row>
    <row r="38" spans="1:10" ht="15" hidden="1" thickBot="1" x14ac:dyDescent="0.35">
      <c r="A38" s="5">
        <v>1036</v>
      </c>
      <c r="B38" s="6">
        <v>46252</v>
      </c>
      <c r="C38" s="3" t="s">
        <v>64</v>
      </c>
      <c r="D38" s="3" t="s">
        <v>11</v>
      </c>
      <c r="E38" s="3" t="s">
        <v>18</v>
      </c>
      <c r="F38" s="3" t="s">
        <v>13</v>
      </c>
      <c r="G38" s="3">
        <v>4</v>
      </c>
      <c r="H38" s="13">
        <v>19500</v>
      </c>
      <c r="I38" s="3" t="s">
        <v>19</v>
      </c>
      <c r="J38" s="7" t="s">
        <v>15</v>
      </c>
    </row>
    <row r="39" spans="1:10" ht="15" thickBot="1" x14ac:dyDescent="0.35">
      <c r="A39" s="5">
        <v>1037</v>
      </c>
      <c r="B39" s="6">
        <v>46253</v>
      </c>
      <c r="C39" s="3" t="s">
        <v>65</v>
      </c>
      <c r="D39" s="3" t="s">
        <v>22</v>
      </c>
      <c r="E39" s="3" t="s">
        <v>23</v>
      </c>
      <c r="F39" s="3" t="s">
        <v>24</v>
      </c>
      <c r="G39" s="3">
        <v>3</v>
      </c>
      <c r="H39" s="13">
        <v>1600</v>
      </c>
      <c r="I39" s="3" t="s">
        <v>14</v>
      </c>
      <c r="J39" s="7" t="s">
        <v>16</v>
      </c>
    </row>
    <row r="40" spans="1:10" ht="15" thickBot="1" x14ac:dyDescent="0.35">
      <c r="A40" s="5">
        <v>1038</v>
      </c>
      <c r="B40" s="6">
        <v>46253</v>
      </c>
      <c r="C40" s="3" t="s">
        <v>66</v>
      </c>
      <c r="D40" s="3" t="s">
        <v>17</v>
      </c>
      <c r="E40" s="3" t="s">
        <v>28</v>
      </c>
      <c r="F40" s="3" t="s">
        <v>24</v>
      </c>
      <c r="G40" s="3">
        <v>6</v>
      </c>
      <c r="H40" s="13">
        <v>850</v>
      </c>
      <c r="I40" s="3" t="s">
        <v>25</v>
      </c>
      <c r="J40" s="7" t="s">
        <v>20</v>
      </c>
    </row>
    <row r="41" spans="1:10" ht="15" hidden="1" thickBot="1" x14ac:dyDescent="0.35">
      <c r="A41" s="5">
        <v>1039</v>
      </c>
      <c r="B41" s="6">
        <v>46254</v>
      </c>
      <c r="C41" s="3" t="s">
        <v>67</v>
      </c>
      <c r="D41" s="3" t="s">
        <v>38</v>
      </c>
      <c r="E41" s="3" t="s">
        <v>12</v>
      </c>
      <c r="F41" s="3" t="s">
        <v>13</v>
      </c>
      <c r="G41" s="3">
        <v>1</v>
      </c>
      <c r="H41" s="13">
        <v>61000</v>
      </c>
      <c r="I41" s="3" t="s">
        <v>19</v>
      </c>
      <c r="J41" s="7" t="s">
        <v>26</v>
      </c>
    </row>
    <row r="42" spans="1:10" ht="15" hidden="1" thickBot="1" x14ac:dyDescent="0.35">
      <c r="A42" s="5">
        <v>1040</v>
      </c>
      <c r="B42" s="6">
        <v>46254</v>
      </c>
      <c r="C42" s="3" t="s">
        <v>68</v>
      </c>
      <c r="D42" s="3" t="s">
        <v>30</v>
      </c>
      <c r="E42" s="3" t="s">
        <v>33</v>
      </c>
      <c r="F42" s="3" t="s">
        <v>13</v>
      </c>
      <c r="G42" s="3">
        <v>2</v>
      </c>
      <c r="H42" s="13">
        <v>12500</v>
      </c>
      <c r="I42" s="3" t="s">
        <v>14</v>
      </c>
      <c r="J42" s="7" t="s">
        <v>15</v>
      </c>
    </row>
    <row r="43" spans="1:10" ht="15" hidden="1" thickBot="1" x14ac:dyDescent="0.35">
      <c r="A43" s="5">
        <v>1041</v>
      </c>
      <c r="B43" s="6">
        <v>46255</v>
      </c>
      <c r="C43" s="3" t="s">
        <v>26</v>
      </c>
      <c r="D43" s="3" t="s">
        <v>11</v>
      </c>
      <c r="E43" s="3" t="s">
        <v>36</v>
      </c>
      <c r="F43" s="3" t="s">
        <v>13</v>
      </c>
      <c r="G43" s="3">
        <v>1</v>
      </c>
      <c r="H43" s="13">
        <v>9500</v>
      </c>
      <c r="I43" s="3" t="s">
        <v>19</v>
      </c>
      <c r="J43" s="7" t="s">
        <v>16</v>
      </c>
    </row>
    <row r="44" spans="1:10" ht="15" thickBot="1" x14ac:dyDescent="0.35">
      <c r="A44" s="5">
        <v>1042</v>
      </c>
      <c r="B44" s="6">
        <v>46255</v>
      </c>
      <c r="C44" s="3" t="s">
        <v>69</v>
      </c>
      <c r="D44" s="3" t="s">
        <v>22</v>
      </c>
      <c r="E44" s="3" t="s">
        <v>31</v>
      </c>
      <c r="F44" s="3" t="s">
        <v>24</v>
      </c>
      <c r="G44" s="3">
        <v>5</v>
      </c>
      <c r="H44" s="13">
        <v>2400</v>
      </c>
      <c r="I44" s="3" t="s">
        <v>25</v>
      </c>
      <c r="J44" s="7" t="s">
        <v>20</v>
      </c>
    </row>
    <row r="45" spans="1:10" ht="15" hidden="1" thickBot="1" x14ac:dyDescent="0.35">
      <c r="A45" s="5">
        <v>1043</v>
      </c>
      <c r="B45" s="6">
        <v>46256</v>
      </c>
      <c r="C45" s="3" t="s">
        <v>70</v>
      </c>
      <c r="D45" s="3" t="s">
        <v>17</v>
      </c>
      <c r="E45" s="3" t="s">
        <v>18</v>
      </c>
      <c r="F45" s="3" t="s">
        <v>13</v>
      </c>
      <c r="G45" s="3">
        <v>2</v>
      </c>
      <c r="H45" s="13">
        <v>26000</v>
      </c>
      <c r="I45" s="3" t="s">
        <v>14</v>
      </c>
      <c r="J45" s="7" t="s">
        <v>26</v>
      </c>
    </row>
    <row r="46" spans="1:10" ht="15" thickBot="1" x14ac:dyDescent="0.35">
      <c r="A46" s="5">
        <v>1044</v>
      </c>
      <c r="B46" s="6">
        <v>46256</v>
      </c>
      <c r="C46" s="3" t="s">
        <v>71</v>
      </c>
      <c r="D46" s="3" t="s">
        <v>38</v>
      </c>
      <c r="E46" s="3" t="s">
        <v>23</v>
      </c>
      <c r="F46" s="3" t="s">
        <v>24</v>
      </c>
      <c r="G46" s="3">
        <v>4</v>
      </c>
      <c r="H46" s="13">
        <v>1250</v>
      </c>
      <c r="I46" s="3" t="s">
        <v>19</v>
      </c>
      <c r="J46" s="7" t="s">
        <v>15</v>
      </c>
    </row>
    <row r="47" spans="1:10" ht="15" thickBot="1" x14ac:dyDescent="0.35">
      <c r="A47" s="5">
        <v>1045</v>
      </c>
      <c r="B47" s="6">
        <v>46257</v>
      </c>
      <c r="C47" s="3" t="s">
        <v>72</v>
      </c>
      <c r="D47" s="3" t="s">
        <v>30</v>
      </c>
      <c r="E47" s="3" t="s">
        <v>28</v>
      </c>
      <c r="F47" s="3" t="s">
        <v>24</v>
      </c>
      <c r="G47" s="3">
        <v>3</v>
      </c>
      <c r="H47" s="13">
        <v>950</v>
      </c>
      <c r="I47" s="3" t="s">
        <v>14</v>
      </c>
      <c r="J47" s="7" t="s">
        <v>16</v>
      </c>
    </row>
    <row r="48" spans="1:10" ht="15" hidden="1" thickBot="1" x14ac:dyDescent="0.35">
      <c r="A48" s="5">
        <v>1046</v>
      </c>
      <c r="B48" s="6">
        <v>46257</v>
      </c>
      <c r="C48" s="3" t="s">
        <v>73</v>
      </c>
      <c r="D48" s="3" t="s">
        <v>11</v>
      </c>
      <c r="E48" s="3" t="s">
        <v>12</v>
      </c>
      <c r="F48" s="3" t="s">
        <v>13</v>
      </c>
      <c r="G48" s="3">
        <v>2</v>
      </c>
      <c r="H48" s="13">
        <v>59000</v>
      </c>
      <c r="I48" s="3" t="s">
        <v>25</v>
      </c>
      <c r="J48" s="7" t="s">
        <v>20</v>
      </c>
    </row>
    <row r="49" spans="1:10" ht="15" hidden="1" thickBot="1" x14ac:dyDescent="0.35">
      <c r="A49" s="5">
        <v>1047</v>
      </c>
      <c r="B49" s="6">
        <v>46258</v>
      </c>
      <c r="C49" s="3" t="s">
        <v>74</v>
      </c>
      <c r="D49" s="3" t="s">
        <v>22</v>
      </c>
      <c r="E49" s="3" t="s">
        <v>33</v>
      </c>
      <c r="F49" s="3" t="s">
        <v>13</v>
      </c>
      <c r="G49" s="3">
        <v>3</v>
      </c>
      <c r="H49" s="13">
        <v>14000</v>
      </c>
      <c r="I49" s="3" t="s">
        <v>19</v>
      </c>
      <c r="J49" s="7" t="s">
        <v>26</v>
      </c>
    </row>
    <row r="50" spans="1:10" ht="15" hidden="1" thickBot="1" x14ac:dyDescent="0.35">
      <c r="A50" s="5">
        <v>1048</v>
      </c>
      <c r="B50" s="6">
        <v>46258</v>
      </c>
      <c r="C50" s="3" t="s">
        <v>75</v>
      </c>
      <c r="D50" s="3" t="s">
        <v>17</v>
      </c>
      <c r="E50" s="3" t="s">
        <v>36</v>
      </c>
      <c r="F50" s="3" t="s">
        <v>13</v>
      </c>
      <c r="G50" s="3">
        <v>2</v>
      </c>
      <c r="H50" s="13">
        <v>9200</v>
      </c>
      <c r="I50" s="3" t="s">
        <v>14</v>
      </c>
      <c r="J50" s="7" t="s">
        <v>15</v>
      </c>
    </row>
    <row r="51" spans="1:10" ht="15" hidden="1" thickBot="1" x14ac:dyDescent="0.35">
      <c r="A51" s="5">
        <v>1049</v>
      </c>
      <c r="B51" s="6">
        <v>46259</v>
      </c>
      <c r="C51" s="3" t="s">
        <v>76</v>
      </c>
      <c r="D51" s="3" t="s">
        <v>38</v>
      </c>
      <c r="E51" s="3" t="s">
        <v>18</v>
      </c>
      <c r="F51" s="3" t="s">
        <v>13</v>
      </c>
      <c r="G51" s="3">
        <v>3</v>
      </c>
      <c r="H51" s="13">
        <v>20000</v>
      </c>
      <c r="I51" s="3" t="s">
        <v>19</v>
      </c>
      <c r="J51" s="7" t="s">
        <v>16</v>
      </c>
    </row>
    <row r="52" spans="1:10" ht="15" thickBot="1" x14ac:dyDescent="0.35">
      <c r="A52" s="8">
        <v>1050</v>
      </c>
      <c r="B52" s="9">
        <v>46259</v>
      </c>
      <c r="C52" s="10" t="s">
        <v>77</v>
      </c>
      <c r="D52" s="10" t="s">
        <v>30</v>
      </c>
      <c r="E52" s="10" t="s">
        <v>31</v>
      </c>
      <c r="F52" s="10" t="s">
        <v>24</v>
      </c>
      <c r="G52" s="10">
        <v>4</v>
      </c>
      <c r="H52" s="14">
        <v>2700</v>
      </c>
      <c r="I52" s="10" t="s">
        <v>25</v>
      </c>
      <c r="J52" s="11" t="s">
        <v>20</v>
      </c>
    </row>
    <row r="53" spans="1:10" ht="15" thickTop="1" x14ac:dyDescent="0.3"/>
  </sheetData>
  <autoFilter ref="A2:J52" xr:uid="{F2AB533E-18A7-40D7-AAA9-B8DBAF09F5A4}">
    <filterColumn colId="5">
      <filters>
        <filter val="Accessories"/>
      </filters>
    </filterColumn>
  </autoFilter>
  <mergeCells count="1">
    <mergeCell ref="A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2BD71-4100-43A9-BC51-5EFA9C3E474B}">
  <dimension ref="A1:K52"/>
  <sheetViews>
    <sheetView workbookViewId="0">
      <selection activeCell="J43" sqref="J43"/>
    </sheetView>
  </sheetViews>
  <sheetFormatPr defaultRowHeight="14.4" x14ac:dyDescent="0.3"/>
  <cols>
    <col min="1" max="1" width="9.44140625" customWidth="1"/>
    <col min="2" max="2" width="10.33203125" bestFit="1" customWidth="1"/>
    <col min="3" max="3" width="11" customWidth="1"/>
    <col min="4" max="4" width="8.21875" bestFit="1" customWidth="1"/>
    <col min="5" max="5" width="11.109375" bestFit="1" customWidth="1"/>
    <col min="6" max="6" width="10.44140625" bestFit="1" customWidth="1"/>
    <col min="7" max="7" width="10.21875" customWidth="1"/>
    <col min="8" max="8" width="11.44140625" bestFit="1" customWidth="1"/>
    <col min="9" max="9" width="15.44140625" customWidth="1"/>
    <col min="10" max="10" width="12.88671875" customWidth="1"/>
    <col min="11" max="11" width="11.88671875" bestFit="1" customWidth="1"/>
  </cols>
  <sheetData>
    <row r="1" spans="1:11" ht="18.600000000000001" thickBot="1" x14ac:dyDescent="0.35">
      <c r="A1" s="45" t="s">
        <v>89</v>
      </c>
      <c r="B1" s="46"/>
      <c r="C1" s="46"/>
      <c r="D1" s="46"/>
      <c r="E1" s="46"/>
      <c r="F1" s="46"/>
      <c r="G1" s="46"/>
      <c r="H1" s="46"/>
      <c r="I1" s="46"/>
      <c r="J1" s="46"/>
      <c r="K1" s="37"/>
    </row>
    <row r="2" spans="1:11" ht="15.6" thickTop="1" thickBot="1" x14ac:dyDescent="0.35">
      <c r="A2" s="30" t="s">
        <v>0</v>
      </c>
      <c r="B2" s="31" t="s">
        <v>1</v>
      </c>
      <c r="C2" s="31" t="s">
        <v>2</v>
      </c>
      <c r="D2" s="31" t="s">
        <v>3</v>
      </c>
      <c r="E2" s="31" t="s">
        <v>4</v>
      </c>
      <c r="F2" s="31" t="s">
        <v>5</v>
      </c>
      <c r="G2" s="31" t="s">
        <v>6</v>
      </c>
      <c r="H2" s="32" t="s">
        <v>7</v>
      </c>
      <c r="I2" s="31" t="s">
        <v>8</v>
      </c>
      <c r="J2" s="33" t="s">
        <v>9</v>
      </c>
      <c r="K2" s="31" t="s">
        <v>90</v>
      </c>
    </row>
    <row r="3" spans="1:11" ht="15" thickBot="1" x14ac:dyDescent="0.35">
      <c r="A3" s="28">
        <v>1001</v>
      </c>
      <c r="B3" s="6">
        <v>46235</v>
      </c>
      <c r="C3" s="3" t="s">
        <v>10</v>
      </c>
      <c r="D3" s="3" t="s">
        <v>11</v>
      </c>
      <c r="E3" s="3" t="s">
        <v>12</v>
      </c>
      <c r="F3" s="3" t="s">
        <v>13</v>
      </c>
      <c r="G3" s="3">
        <v>2</v>
      </c>
      <c r="H3" s="13">
        <v>55000</v>
      </c>
      <c r="I3" s="3" t="s">
        <v>14</v>
      </c>
      <c r="J3" s="29" t="s">
        <v>15</v>
      </c>
      <c r="K3" s="36">
        <f>Table2[[#This Row],[Quantity]]*Table2[[#This Row],[UnitPrice]]</f>
        <v>110000</v>
      </c>
    </row>
    <row r="4" spans="1:11" ht="15" thickBot="1" x14ac:dyDescent="0.35">
      <c r="A4" s="28">
        <v>1002</v>
      </c>
      <c r="B4" s="6">
        <v>46235</v>
      </c>
      <c r="C4" s="3" t="s">
        <v>16</v>
      </c>
      <c r="D4" s="3" t="s">
        <v>17</v>
      </c>
      <c r="E4" s="3" t="s">
        <v>18</v>
      </c>
      <c r="F4" s="3" t="s">
        <v>13</v>
      </c>
      <c r="G4" s="3">
        <v>3</v>
      </c>
      <c r="H4" s="13">
        <v>22000</v>
      </c>
      <c r="I4" s="3" t="s">
        <v>19</v>
      </c>
      <c r="J4" s="29" t="s">
        <v>20</v>
      </c>
      <c r="K4" s="36">
        <f>Table2[[#This Row],[Quantity]]*Table2[[#This Row],[UnitPrice]]</f>
        <v>66000</v>
      </c>
    </row>
    <row r="5" spans="1:11" ht="15" hidden="1" thickBot="1" x14ac:dyDescent="0.35">
      <c r="A5" s="28">
        <v>1003</v>
      </c>
      <c r="B5" s="6">
        <v>46236</v>
      </c>
      <c r="C5" s="3" t="s">
        <v>21</v>
      </c>
      <c r="D5" s="3" t="s">
        <v>22</v>
      </c>
      <c r="E5" s="3" t="s">
        <v>23</v>
      </c>
      <c r="F5" s="3" t="s">
        <v>24</v>
      </c>
      <c r="G5" s="3">
        <v>5</v>
      </c>
      <c r="H5" s="13">
        <v>1200</v>
      </c>
      <c r="I5" s="3" t="s">
        <v>25</v>
      </c>
      <c r="J5" s="29" t="s">
        <v>26</v>
      </c>
      <c r="K5" s="3"/>
    </row>
    <row r="6" spans="1:11" ht="15" hidden="1" thickBot="1" x14ac:dyDescent="0.35">
      <c r="A6" s="28">
        <v>1004</v>
      </c>
      <c r="B6" s="6">
        <v>46236</v>
      </c>
      <c r="C6" s="3" t="s">
        <v>27</v>
      </c>
      <c r="D6" s="3" t="s">
        <v>11</v>
      </c>
      <c r="E6" s="3" t="s">
        <v>28</v>
      </c>
      <c r="F6" s="3" t="s">
        <v>24</v>
      </c>
      <c r="G6" s="3">
        <v>4</v>
      </c>
      <c r="H6" s="13">
        <v>800</v>
      </c>
      <c r="I6" s="3" t="s">
        <v>14</v>
      </c>
      <c r="J6" s="29" t="s">
        <v>15</v>
      </c>
      <c r="K6" s="3"/>
    </row>
    <row r="7" spans="1:11" ht="15" hidden="1" thickBot="1" x14ac:dyDescent="0.35">
      <c r="A7" s="28">
        <v>1005</v>
      </c>
      <c r="B7" s="6">
        <v>46237</v>
      </c>
      <c r="C7" s="3" t="s">
        <v>29</v>
      </c>
      <c r="D7" s="3" t="s">
        <v>30</v>
      </c>
      <c r="E7" s="3" t="s">
        <v>31</v>
      </c>
      <c r="F7" s="3" t="s">
        <v>24</v>
      </c>
      <c r="G7" s="3">
        <v>2</v>
      </c>
      <c r="H7" s="13">
        <v>2500</v>
      </c>
      <c r="I7" s="3" t="s">
        <v>19</v>
      </c>
      <c r="J7" s="29" t="s">
        <v>16</v>
      </c>
      <c r="K7" s="3"/>
    </row>
    <row r="8" spans="1:11" ht="15" thickBot="1" x14ac:dyDescent="0.35">
      <c r="A8" s="28">
        <v>1006</v>
      </c>
      <c r="B8" s="6">
        <v>46237</v>
      </c>
      <c r="C8" s="3" t="s">
        <v>32</v>
      </c>
      <c r="D8" s="3" t="s">
        <v>22</v>
      </c>
      <c r="E8" s="3" t="s">
        <v>33</v>
      </c>
      <c r="F8" s="3" t="s">
        <v>13</v>
      </c>
      <c r="G8" s="3">
        <v>2</v>
      </c>
      <c r="H8" s="13">
        <v>15000</v>
      </c>
      <c r="I8" s="3" t="s">
        <v>14</v>
      </c>
      <c r="J8" s="29" t="s">
        <v>20</v>
      </c>
      <c r="K8" s="36">
        <f>Table2[[#This Row],[Quantity]]*Table2[[#This Row],[UnitPrice]]</f>
        <v>30000</v>
      </c>
    </row>
    <row r="9" spans="1:11" ht="15" thickBot="1" x14ac:dyDescent="0.35">
      <c r="A9" s="28">
        <v>1007</v>
      </c>
      <c r="B9" s="6">
        <v>46238</v>
      </c>
      <c r="C9" s="3" t="s">
        <v>34</v>
      </c>
      <c r="D9" s="3" t="s">
        <v>17</v>
      </c>
      <c r="E9" s="3" t="s">
        <v>12</v>
      </c>
      <c r="F9" s="3" t="s">
        <v>13</v>
      </c>
      <c r="G9" s="3">
        <v>1</v>
      </c>
      <c r="H9" s="13">
        <v>62000</v>
      </c>
      <c r="I9" s="3" t="s">
        <v>19</v>
      </c>
      <c r="J9" s="29" t="s">
        <v>26</v>
      </c>
      <c r="K9" s="36">
        <f>Table2[[#This Row],[Quantity]]*Table2[[#This Row],[UnitPrice]]</f>
        <v>62000</v>
      </c>
    </row>
    <row r="10" spans="1:11" ht="15" hidden="1" thickBot="1" x14ac:dyDescent="0.35">
      <c r="A10" s="28">
        <v>1008</v>
      </c>
      <c r="B10" s="6">
        <v>46238</v>
      </c>
      <c r="C10" s="3" t="s">
        <v>35</v>
      </c>
      <c r="D10" s="3" t="s">
        <v>11</v>
      </c>
      <c r="E10" s="3" t="s">
        <v>36</v>
      </c>
      <c r="F10" s="3" t="s">
        <v>13</v>
      </c>
      <c r="G10" s="3">
        <v>2</v>
      </c>
      <c r="H10" s="13">
        <v>9500</v>
      </c>
      <c r="I10" s="3" t="s">
        <v>25</v>
      </c>
      <c r="J10" s="29" t="s">
        <v>15</v>
      </c>
      <c r="K10" s="3"/>
    </row>
    <row r="11" spans="1:11" ht="15" thickBot="1" x14ac:dyDescent="0.35">
      <c r="A11" s="28">
        <v>1009</v>
      </c>
      <c r="B11" s="6">
        <v>46239</v>
      </c>
      <c r="C11" s="3" t="s">
        <v>37</v>
      </c>
      <c r="D11" s="3" t="s">
        <v>38</v>
      </c>
      <c r="E11" s="3" t="s">
        <v>78</v>
      </c>
      <c r="F11" s="3" t="s">
        <v>13</v>
      </c>
      <c r="G11" s="3">
        <v>2</v>
      </c>
      <c r="H11" s="13">
        <v>18000</v>
      </c>
      <c r="I11" s="3" t="s">
        <v>14</v>
      </c>
      <c r="J11" s="29" t="s">
        <v>16</v>
      </c>
      <c r="K11" s="36">
        <f>Table2[[#This Row],[Quantity]]*Table2[[#This Row],[UnitPrice]]</f>
        <v>36000</v>
      </c>
    </row>
    <row r="12" spans="1:11" ht="15" hidden="1" thickBot="1" x14ac:dyDescent="0.35">
      <c r="A12" s="28">
        <v>1010</v>
      </c>
      <c r="B12" s="6">
        <v>46239</v>
      </c>
      <c r="C12" s="3" t="s">
        <v>39</v>
      </c>
      <c r="D12" s="3" t="s">
        <v>30</v>
      </c>
      <c r="E12" s="3" t="s">
        <v>23</v>
      </c>
      <c r="F12" s="3" t="s">
        <v>24</v>
      </c>
      <c r="G12" s="3">
        <v>3</v>
      </c>
      <c r="H12" s="13">
        <v>1500</v>
      </c>
      <c r="I12" s="3" t="s">
        <v>19</v>
      </c>
      <c r="J12" s="29" t="s">
        <v>20</v>
      </c>
      <c r="K12" s="3"/>
    </row>
    <row r="13" spans="1:11" ht="15" hidden="1" thickBot="1" x14ac:dyDescent="0.35">
      <c r="A13" s="28">
        <v>1011</v>
      </c>
      <c r="B13" s="6">
        <v>46240</v>
      </c>
      <c r="C13" s="3" t="s">
        <v>40</v>
      </c>
      <c r="D13" s="3" t="s">
        <v>11</v>
      </c>
      <c r="E13" s="3" t="s">
        <v>28</v>
      </c>
      <c r="F13" s="3" t="s">
        <v>24</v>
      </c>
      <c r="G13" s="3">
        <v>6</v>
      </c>
      <c r="H13" s="13">
        <v>700</v>
      </c>
      <c r="I13" s="3" t="s">
        <v>14</v>
      </c>
      <c r="J13" s="29" t="s">
        <v>26</v>
      </c>
      <c r="K13" s="3"/>
    </row>
    <row r="14" spans="1:11" ht="15" thickBot="1" x14ac:dyDescent="0.35">
      <c r="A14" s="28">
        <v>1012</v>
      </c>
      <c r="B14" s="6">
        <v>46240</v>
      </c>
      <c r="C14" s="3" t="s">
        <v>41</v>
      </c>
      <c r="D14" s="3" t="s">
        <v>22</v>
      </c>
      <c r="E14" s="3" t="s">
        <v>12</v>
      </c>
      <c r="F14" s="3" t="s">
        <v>13</v>
      </c>
      <c r="G14" s="3">
        <v>1</v>
      </c>
      <c r="H14" s="13">
        <v>58000</v>
      </c>
      <c r="I14" s="3" t="s">
        <v>19</v>
      </c>
      <c r="J14" s="29" t="s">
        <v>15</v>
      </c>
      <c r="K14" s="36">
        <f>Table2[[#This Row],[Quantity]]*Table2[[#This Row],[UnitPrice]]</f>
        <v>58000</v>
      </c>
    </row>
    <row r="15" spans="1:11" ht="15" thickBot="1" x14ac:dyDescent="0.35">
      <c r="A15" s="28">
        <v>1013</v>
      </c>
      <c r="B15" s="6">
        <v>46241</v>
      </c>
      <c r="C15" s="3" t="s">
        <v>42</v>
      </c>
      <c r="D15" s="3" t="s">
        <v>17</v>
      </c>
      <c r="E15" s="3" t="s">
        <v>33</v>
      </c>
      <c r="F15" s="3" t="s">
        <v>13</v>
      </c>
      <c r="G15" s="3">
        <v>3</v>
      </c>
      <c r="H15" s="13">
        <v>13500</v>
      </c>
      <c r="I15" s="3" t="s">
        <v>14</v>
      </c>
      <c r="J15" s="29" t="s">
        <v>16</v>
      </c>
      <c r="K15" s="36">
        <f>Table2[[#This Row],[Quantity]]*Table2[[#This Row],[UnitPrice]]</f>
        <v>40500</v>
      </c>
    </row>
    <row r="16" spans="1:11" ht="15" hidden="1" thickBot="1" x14ac:dyDescent="0.35">
      <c r="A16" s="28">
        <v>1014</v>
      </c>
      <c r="B16" s="6">
        <v>46241</v>
      </c>
      <c r="C16" s="3" t="s">
        <v>43</v>
      </c>
      <c r="D16" s="3" t="s">
        <v>38</v>
      </c>
      <c r="E16" s="3" t="s">
        <v>31</v>
      </c>
      <c r="F16" s="3" t="s">
        <v>24</v>
      </c>
      <c r="G16" s="3">
        <v>4</v>
      </c>
      <c r="H16" s="13">
        <v>2200</v>
      </c>
      <c r="I16" s="3" t="s">
        <v>25</v>
      </c>
      <c r="J16" s="29" t="s">
        <v>20</v>
      </c>
      <c r="K16" s="3"/>
    </row>
    <row r="17" spans="1:11" ht="15" thickBot="1" x14ac:dyDescent="0.35">
      <c r="A17" s="28">
        <v>1015</v>
      </c>
      <c r="B17" s="6">
        <v>46242</v>
      </c>
      <c r="C17" s="3" t="s">
        <v>44</v>
      </c>
      <c r="D17" s="3" t="s">
        <v>30</v>
      </c>
      <c r="E17" s="3" t="s">
        <v>36</v>
      </c>
      <c r="F17" s="3" t="s">
        <v>13</v>
      </c>
      <c r="G17" s="3">
        <v>1</v>
      </c>
      <c r="H17" s="13">
        <v>11000</v>
      </c>
      <c r="I17" s="3" t="s">
        <v>19</v>
      </c>
      <c r="J17" s="29" t="s">
        <v>26</v>
      </c>
      <c r="K17" s="36">
        <f>Table2[[#This Row],[Quantity]]*Table2[[#This Row],[UnitPrice]]</f>
        <v>11000</v>
      </c>
    </row>
    <row r="18" spans="1:11" ht="15" thickBot="1" x14ac:dyDescent="0.35">
      <c r="A18" s="28">
        <v>1016</v>
      </c>
      <c r="B18" s="6">
        <v>46242</v>
      </c>
      <c r="C18" s="3" t="s">
        <v>45</v>
      </c>
      <c r="D18" s="3" t="s">
        <v>87</v>
      </c>
      <c r="E18" s="3" t="s">
        <v>18</v>
      </c>
      <c r="F18" s="3" t="s">
        <v>13</v>
      </c>
      <c r="G18" s="3">
        <v>3</v>
      </c>
      <c r="H18" s="13">
        <v>25000</v>
      </c>
      <c r="I18" s="3" t="s">
        <v>14</v>
      </c>
      <c r="J18" s="29" t="s">
        <v>15</v>
      </c>
      <c r="K18" s="36">
        <f>Table2[[#This Row],[Quantity]]*Table2[[#This Row],[UnitPrice]]</f>
        <v>75000</v>
      </c>
    </row>
    <row r="19" spans="1:11" ht="15" hidden="1" thickBot="1" x14ac:dyDescent="0.35">
      <c r="A19" s="28">
        <v>1017</v>
      </c>
      <c r="B19" s="6">
        <v>46243</v>
      </c>
      <c r="C19" s="3" t="s">
        <v>46</v>
      </c>
      <c r="D19" s="3" t="s">
        <v>22</v>
      </c>
      <c r="E19" s="3" t="s">
        <v>23</v>
      </c>
      <c r="F19" s="3" t="s">
        <v>24</v>
      </c>
      <c r="G19" s="3">
        <v>5</v>
      </c>
      <c r="H19" s="13">
        <v>1300</v>
      </c>
      <c r="I19" s="3" t="s">
        <v>25</v>
      </c>
      <c r="J19" s="29" t="s">
        <v>16</v>
      </c>
      <c r="K19" s="3"/>
    </row>
    <row r="20" spans="1:11" ht="15" hidden="1" thickBot="1" x14ac:dyDescent="0.35">
      <c r="A20" s="28">
        <v>1018</v>
      </c>
      <c r="B20" s="6">
        <v>46243</v>
      </c>
      <c r="C20" s="3" t="s">
        <v>47</v>
      </c>
      <c r="D20" s="3" t="s">
        <v>17</v>
      </c>
      <c r="E20" s="3" t="s">
        <v>28</v>
      </c>
      <c r="F20" s="3" t="s">
        <v>24</v>
      </c>
      <c r="G20" s="3">
        <v>8</v>
      </c>
      <c r="H20" s="13">
        <v>650</v>
      </c>
      <c r="I20" s="3" t="s">
        <v>19</v>
      </c>
      <c r="J20" s="29" t="s">
        <v>20</v>
      </c>
      <c r="K20" s="3"/>
    </row>
    <row r="21" spans="1:11" ht="15" thickBot="1" x14ac:dyDescent="0.35">
      <c r="A21" s="28">
        <v>1019</v>
      </c>
      <c r="B21" s="6">
        <v>46244</v>
      </c>
      <c r="C21" s="3" t="s">
        <v>20</v>
      </c>
      <c r="D21" s="3" t="s">
        <v>38</v>
      </c>
      <c r="E21" s="3" t="s">
        <v>12</v>
      </c>
      <c r="F21" s="3" t="s">
        <v>13</v>
      </c>
      <c r="G21" s="3">
        <v>2</v>
      </c>
      <c r="H21" s="13">
        <v>60000</v>
      </c>
      <c r="I21" s="3" t="s">
        <v>14</v>
      </c>
      <c r="J21" s="29" t="s">
        <v>26</v>
      </c>
      <c r="K21" s="36">
        <f>Table2[[#This Row],[Quantity]]*Table2[[#This Row],[UnitPrice]]</f>
        <v>120000</v>
      </c>
    </row>
    <row r="22" spans="1:11" ht="15" thickBot="1" x14ac:dyDescent="0.35">
      <c r="A22" s="28">
        <v>1020</v>
      </c>
      <c r="B22" s="6">
        <v>46244</v>
      </c>
      <c r="C22" s="3" t="s">
        <v>48</v>
      </c>
      <c r="D22" s="3" t="s">
        <v>30</v>
      </c>
      <c r="E22" s="3" t="s">
        <v>33</v>
      </c>
      <c r="F22" s="3" t="s">
        <v>13</v>
      </c>
      <c r="G22" s="3">
        <v>1</v>
      </c>
      <c r="H22" s="13">
        <v>16000</v>
      </c>
      <c r="I22" s="3" t="s">
        <v>19</v>
      </c>
      <c r="J22" s="29" t="s">
        <v>15</v>
      </c>
      <c r="K22" s="36">
        <f>Table2[[#This Row],[Quantity]]*Table2[[#This Row],[UnitPrice]]</f>
        <v>16000</v>
      </c>
    </row>
    <row r="23" spans="1:11" ht="15" thickBot="1" x14ac:dyDescent="0.35">
      <c r="A23" s="28">
        <v>1021</v>
      </c>
      <c r="B23" s="6">
        <v>46245</v>
      </c>
      <c r="C23" s="3" t="s">
        <v>49</v>
      </c>
      <c r="D23" s="3" t="s">
        <v>11</v>
      </c>
      <c r="E23" s="3" t="s">
        <v>36</v>
      </c>
      <c r="F23" s="3" t="s">
        <v>13</v>
      </c>
      <c r="G23" s="3">
        <v>2</v>
      </c>
      <c r="H23" s="13">
        <v>9000</v>
      </c>
      <c r="I23" s="3" t="s">
        <v>14</v>
      </c>
      <c r="J23" s="29" t="s">
        <v>16</v>
      </c>
      <c r="K23" s="36">
        <f>Table2[[#This Row],[Quantity]]*Table2[[#This Row],[UnitPrice]]</f>
        <v>18000</v>
      </c>
    </row>
    <row r="24" spans="1:11" ht="15" hidden="1" thickBot="1" x14ac:dyDescent="0.35">
      <c r="A24" s="28">
        <v>1022</v>
      </c>
      <c r="B24" s="6">
        <v>46245</v>
      </c>
      <c r="C24" s="3" t="s">
        <v>50</v>
      </c>
      <c r="D24" s="3" t="s">
        <v>22</v>
      </c>
      <c r="E24" s="3" t="s">
        <v>31</v>
      </c>
      <c r="F24" s="3" t="s">
        <v>24</v>
      </c>
      <c r="G24" s="3">
        <v>3</v>
      </c>
      <c r="H24" s="13">
        <v>2800</v>
      </c>
      <c r="I24" s="3" t="s">
        <v>25</v>
      </c>
      <c r="J24" s="29" t="s">
        <v>20</v>
      </c>
      <c r="K24" s="3"/>
    </row>
    <row r="25" spans="1:11" ht="15" thickBot="1" x14ac:dyDescent="0.35">
      <c r="A25" s="28">
        <v>1023</v>
      </c>
      <c r="B25" s="6">
        <v>46246</v>
      </c>
      <c r="C25" s="3" t="s">
        <v>51</v>
      </c>
      <c r="D25" s="3" t="s">
        <v>17</v>
      </c>
      <c r="E25" s="3" t="s">
        <v>18</v>
      </c>
      <c r="F25" s="3" t="s">
        <v>13</v>
      </c>
      <c r="G25" s="3">
        <v>2</v>
      </c>
      <c r="H25" s="13">
        <v>21000</v>
      </c>
      <c r="I25" s="3" t="s">
        <v>19</v>
      </c>
      <c r="J25" s="29" t="s">
        <v>26</v>
      </c>
      <c r="K25" s="36">
        <f>Table2[[#This Row],[Quantity]]*Table2[[#This Row],[UnitPrice]]</f>
        <v>42000</v>
      </c>
    </row>
    <row r="26" spans="1:11" ht="15" hidden="1" thickBot="1" x14ac:dyDescent="0.35">
      <c r="A26" s="28">
        <v>1024</v>
      </c>
      <c r="B26" s="6">
        <v>46246</v>
      </c>
      <c r="C26" s="3" t="s">
        <v>52</v>
      </c>
      <c r="D26" s="3" t="s">
        <v>38</v>
      </c>
      <c r="E26" s="3" t="s">
        <v>23</v>
      </c>
      <c r="F26" s="3" t="s">
        <v>24</v>
      </c>
      <c r="G26" s="3">
        <v>4</v>
      </c>
      <c r="H26" s="13">
        <v>1400</v>
      </c>
      <c r="I26" s="3" t="s">
        <v>14</v>
      </c>
      <c r="J26" s="29" t="s">
        <v>15</v>
      </c>
      <c r="K26" s="3"/>
    </row>
    <row r="27" spans="1:11" ht="15" hidden="1" thickBot="1" x14ac:dyDescent="0.35">
      <c r="A27" s="28">
        <v>1025</v>
      </c>
      <c r="B27" s="6">
        <v>46247</v>
      </c>
      <c r="C27" s="3" t="s">
        <v>53</v>
      </c>
      <c r="D27" s="3" t="s">
        <v>30</v>
      </c>
      <c r="E27" s="3" t="s">
        <v>28</v>
      </c>
      <c r="F27" s="3" t="s">
        <v>24</v>
      </c>
      <c r="G27" s="3">
        <v>5</v>
      </c>
      <c r="H27" s="13">
        <v>750</v>
      </c>
      <c r="I27" s="3" t="s">
        <v>25</v>
      </c>
      <c r="J27" s="29" t="s">
        <v>16</v>
      </c>
      <c r="K27" s="3"/>
    </row>
    <row r="28" spans="1:11" ht="15" thickBot="1" x14ac:dyDescent="0.35">
      <c r="A28" s="28">
        <v>1026</v>
      </c>
      <c r="B28" s="6">
        <v>46247</v>
      </c>
      <c r="C28" s="3" t="s">
        <v>54</v>
      </c>
      <c r="D28" s="3" t="s">
        <v>11</v>
      </c>
      <c r="E28" s="3" t="s">
        <v>12</v>
      </c>
      <c r="F28" s="3" t="s">
        <v>13</v>
      </c>
      <c r="G28" s="3">
        <v>1</v>
      </c>
      <c r="H28" s="13">
        <v>65000</v>
      </c>
      <c r="I28" s="3" t="s">
        <v>19</v>
      </c>
      <c r="J28" s="29" t="s">
        <v>20</v>
      </c>
      <c r="K28" s="36">
        <f>Table2[[#This Row],[Quantity]]*Table2[[#This Row],[UnitPrice]]</f>
        <v>65000</v>
      </c>
    </row>
    <row r="29" spans="1:11" ht="15" thickBot="1" x14ac:dyDescent="0.35">
      <c r="A29" s="28">
        <v>1027</v>
      </c>
      <c r="B29" s="6">
        <v>46248</v>
      </c>
      <c r="C29" s="3" t="s">
        <v>55</v>
      </c>
      <c r="D29" s="3" t="s">
        <v>22</v>
      </c>
      <c r="E29" s="3" t="s">
        <v>33</v>
      </c>
      <c r="F29" s="3" t="s">
        <v>13</v>
      </c>
      <c r="G29" s="3">
        <v>2</v>
      </c>
      <c r="H29" s="13">
        <v>14500</v>
      </c>
      <c r="I29" s="3" t="s">
        <v>14</v>
      </c>
      <c r="J29" s="29" t="s">
        <v>26</v>
      </c>
      <c r="K29" s="36">
        <f>Table2[[#This Row],[Quantity]]*Table2[[#This Row],[UnitPrice]]</f>
        <v>29000</v>
      </c>
    </row>
    <row r="30" spans="1:11" ht="15" thickBot="1" x14ac:dyDescent="0.35">
      <c r="A30" s="28">
        <v>1028</v>
      </c>
      <c r="B30" s="6">
        <v>46248</v>
      </c>
      <c r="C30" s="3" t="s">
        <v>56</v>
      </c>
      <c r="D30" s="3" t="s">
        <v>17</v>
      </c>
      <c r="E30" s="3" t="s">
        <v>36</v>
      </c>
      <c r="F30" s="3" t="s">
        <v>13</v>
      </c>
      <c r="G30" s="3">
        <v>3</v>
      </c>
      <c r="H30" s="13">
        <v>8500</v>
      </c>
      <c r="I30" s="3" t="s">
        <v>19</v>
      </c>
      <c r="J30" s="29" t="s">
        <v>15</v>
      </c>
      <c r="K30" s="36">
        <f>Table2[[#This Row],[Quantity]]*Table2[[#This Row],[UnitPrice]]</f>
        <v>25500</v>
      </c>
    </row>
    <row r="31" spans="1:11" ht="15" hidden="1" thickBot="1" x14ac:dyDescent="0.35">
      <c r="A31" s="28">
        <v>1029</v>
      </c>
      <c r="B31" s="6">
        <v>46249</v>
      </c>
      <c r="C31" s="3" t="s">
        <v>57</v>
      </c>
      <c r="D31" s="3" t="s">
        <v>38</v>
      </c>
      <c r="E31" s="3" t="s">
        <v>18</v>
      </c>
      <c r="F31" s="3" t="s">
        <v>13</v>
      </c>
      <c r="G31" s="3">
        <v>1</v>
      </c>
      <c r="H31" s="13">
        <v>23000</v>
      </c>
      <c r="I31" s="3" t="s">
        <v>25</v>
      </c>
      <c r="J31" s="29" t="s">
        <v>16</v>
      </c>
      <c r="K31" s="3"/>
    </row>
    <row r="32" spans="1:11" ht="15" hidden="1" thickBot="1" x14ac:dyDescent="0.35">
      <c r="A32" s="28">
        <v>1030</v>
      </c>
      <c r="B32" s="6">
        <v>46249</v>
      </c>
      <c r="C32" s="3" t="s">
        <v>58</v>
      </c>
      <c r="D32" s="3" t="s">
        <v>30</v>
      </c>
      <c r="E32" s="3" t="s">
        <v>31</v>
      </c>
      <c r="F32" s="3" t="s">
        <v>24</v>
      </c>
      <c r="G32" s="3">
        <v>2</v>
      </c>
      <c r="H32" s="13">
        <v>3000</v>
      </c>
      <c r="I32" s="3" t="s">
        <v>14</v>
      </c>
      <c r="J32" s="29" t="s">
        <v>20</v>
      </c>
      <c r="K32" s="3"/>
    </row>
    <row r="33" spans="1:11" ht="15" hidden="1" thickBot="1" x14ac:dyDescent="0.35">
      <c r="A33" s="28">
        <v>1031</v>
      </c>
      <c r="B33" s="6">
        <v>46250</v>
      </c>
      <c r="C33" s="3" t="s">
        <v>59</v>
      </c>
      <c r="D33" s="3" t="s">
        <v>11</v>
      </c>
      <c r="E33" s="3" t="s">
        <v>23</v>
      </c>
      <c r="F33" s="3" t="s">
        <v>24</v>
      </c>
      <c r="G33" s="3">
        <v>7</v>
      </c>
      <c r="H33" s="13">
        <v>1100</v>
      </c>
      <c r="I33" s="3" t="s">
        <v>19</v>
      </c>
      <c r="J33" s="29" t="s">
        <v>26</v>
      </c>
      <c r="K33" s="3"/>
    </row>
    <row r="34" spans="1:11" ht="15" hidden="1" thickBot="1" x14ac:dyDescent="0.35">
      <c r="A34" s="28">
        <v>1032</v>
      </c>
      <c r="B34" s="6">
        <v>46250</v>
      </c>
      <c r="C34" s="3" t="s">
        <v>60</v>
      </c>
      <c r="D34" s="3" t="s">
        <v>22</v>
      </c>
      <c r="E34" s="3" t="s">
        <v>28</v>
      </c>
      <c r="F34" s="3" t="s">
        <v>24</v>
      </c>
      <c r="G34" s="3">
        <v>4</v>
      </c>
      <c r="H34" s="13">
        <v>900</v>
      </c>
      <c r="I34" s="3" t="s">
        <v>14</v>
      </c>
      <c r="J34" s="29" t="s">
        <v>15</v>
      </c>
      <c r="K34" s="3"/>
    </row>
    <row r="35" spans="1:11" ht="15" thickBot="1" x14ac:dyDescent="0.35">
      <c r="A35" s="28">
        <v>1033</v>
      </c>
      <c r="B35" s="6">
        <v>46251</v>
      </c>
      <c r="C35" s="3" t="s">
        <v>61</v>
      </c>
      <c r="D35" s="3" t="s">
        <v>17</v>
      </c>
      <c r="E35" s="3" t="s">
        <v>12</v>
      </c>
      <c r="F35" s="3" t="s">
        <v>13</v>
      </c>
      <c r="G35" s="3">
        <v>2</v>
      </c>
      <c r="H35" s="13">
        <v>57000</v>
      </c>
      <c r="I35" s="3" t="s">
        <v>19</v>
      </c>
      <c r="J35" s="29" t="s">
        <v>16</v>
      </c>
      <c r="K35" s="36">
        <f>Table2[[#This Row],[Quantity]]*Table2[[#This Row],[UnitPrice]]</f>
        <v>114000</v>
      </c>
    </row>
    <row r="36" spans="1:11" ht="15" hidden="1" thickBot="1" x14ac:dyDescent="0.35">
      <c r="A36" s="28">
        <v>1034</v>
      </c>
      <c r="B36" s="6">
        <v>46251</v>
      </c>
      <c r="C36" s="3" t="s">
        <v>62</v>
      </c>
      <c r="D36" s="3" t="s">
        <v>38</v>
      </c>
      <c r="E36" s="3" t="s">
        <v>33</v>
      </c>
      <c r="F36" s="3" t="s">
        <v>13</v>
      </c>
      <c r="G36" s="3">
        <v>1</v>
      </c>
      <c r="H36" s="13">
        <v>15500</v>
      </c>
      <c r="I36" s="3" t="s">
        <v>25</v>
      </c>
      <c r="J36" s="29" t="s">
        <v>20</v>
      </c>
      <c r="K36" s="3"/>
    </row>
    <row r="37" spans="1:11" ht="15" thickBot="1" x14ac:dyDescent="0.35">
      <c r="A37" s="28">
        <v>1035</v>
      </c>
      <c r="B37" s="6">
        <v>46252</v>
      </c>
      <c r="C37" s="3" t="s">
        <v>63</v>
      </c>
      <c r="D37" s="3" t="s">
        <v>30</v>
      </c>
      <c r="E37" s="3" t="s">
        <v>36</v>
      </c>
      <c r="F37" s="3" t="s">
        <v>13</v>
      </c>
      <c r="G37" s="3">
        <v>2</v>
      </c>
      <c r="H37" s="13">
        <v>10000</v>
      </c>
      <c r="I37" s="3" t="s">
        <v>14</v>
      </c>
      <c r="J37" s="29" t="s">
        <v>26</v>
      </c>
      <c r="K37" s="36">
        <f>Table2[[#This Row],[Quantity]]*Table2[[#This Row],[UnitPrice]]</f>
        <v>20000</v>
      </c>
    </row>
    <row r="38" spans="1:11" ht="15" thickBot="1" x14ac:dyDescent="0.35">
      <c r="A38" s="28">
        <v>1036</v>
      </c>
      <c r="B38" s="6">
        <v>46252</v>
      </c>
      <c r="C38" s="3" t="s">
        <v>64</v>
      </c>
      <c r="D38" s="3" t="s">
        <v>11</v>
      </c>
      <c r="E38" s="3" t="s">
        <v>18</v>
      </c>
      <c r="F38" s="3" t="s">
        <v>13</v>
      </c>
      <c r="G38" s="3">
        <v>4</v>
      </c>
      <c r="H38" s="13">
        <v>19500</v>
      </c>
      <c r="I38" s="3" t="s">
        <v>19</v>
      </c>
      <c r="J38" s="29" t="s">
        <v>15</v>
      </c>
      <c r="K38" s="36">
        <f>Table2[[#This Row],[Quantity]]*Table2[[#This Row],[UnitPrice]]</f>
        <v>78000</v>
      </c>
    </row>
    <row r="39" spans="1:11" ht="15" hidden="1" thickBot="1" x14ac:dyDescent="0.35">
      <c r="A39" s="28">
        <v>1037</v>
      </c>
      <c r="B39" s="6">
        <v>46253</v>
      </c>
      <c r="C39" s="3" t="s">
        <v>65</v>
      </c>
      <c r="D39" s="3" t="s">
        <v>22</v>
      </c>
      <c r="E39" s="3" t="s">
        <v>23</v>
      </c>
      <c r="F39" s="3" t="s">
        <v>24</v>
      </c>
      <c r="G39" s="3">
        <v>3</v>
      </c>
      <c r="H39" s="13">
        <v>1600</v>
      </c>
      <c r="I39" s="3" t="s">
        <v>14</v>
      </c>
      <c r="J39" s="29" t="s">
        <v>16</v>
      </c>
      <c r="K39" s="3"/>
    </row>
    <row r="40" spans="1:11" ht="15" hidden="1" thickBot="1" x14ac:dyDescent="0.35">
      <c r="A40" s="28">
        <v>1038</v>
      </c>
      <c r="B40" s="6">
        <v>46253</v>
      </c>
      <c r="C40" s="3" t="s">
        <v>66</v>
      </c>
      <c r="D40" s="3" t="s">
        <v>17</v>
      </c>
      <c r="E40" s="3" t="s">
        <v>28</v>
      </c>
      <c r="F40" s="3" t="s">
        <v>24</v>
      </c>
      <c r="G40" s="3">
        <v>6</v>
      </c>
      <c r="H40" s="13">
        <v>850</v>
      </c>
      <c r="I40" s="3" t="s">
        <v>25</v>
      </c>
      <c r="J40" s="29" t="s">
        <v>20</v>
      </c>
      <c r="K40" s="3"/>
    </row>
    <row r="41" spans="1:11" ht="15" thickBot="1" x14ac:dyDescent="0.35">
      <c r="A41" s="28">
        <v>1039</v>
      </c>
      <c r="B41" s="6">
        <v>46254</v>
      </c>
      <c r="C41" s="3" t="s">
        <v>67</v>
      </c>
      <c r="D41" s="3" t="s">
        <v>38</v>
      </c>
      <c r="E41" s="3" t="s">
        <v>12</v>
      </c>
      <c r="F41" s="3" t="s">
        <v>13</v>
      </c>
      <c r="G41" s="3">
        <v>1</v>
      </c>
      <c r="H41" s="13">
        <v>61000</v>
      </c>
      <c r="I41" s="3" t="s">
        <v>19</v>
      </c>
      <c r="J41" s="29" t="s">
        <v>26</v>
      </c>
      <c r="K41" s="36">
        <f>Table2[[#This Row],[Quantity]]*Table2[[#This Row],[UnitPrice]]</f>
        <v>61000</v>
      </c>
    </row>
    <row r="42" spans="1:11" ht="15" thickBot="1" x14ac:dyDescent="0.35">
      <c r="A42" s="28">
        <v>1040</v>
      </c>
      <c r="B42" s="6">
        <v>46254</v>
      </c>
      <c r="C42" s="3" t="s">
        <v>68</v>
      </c>
      <c r="D42" s="3" t="s">
        <v>30</v>
      </c>
      <c r="E42" s="3" t="s">
        <v>33</v>
      </c>
      <c r="F42" s="3" t="s">
        <v>13</v>
      </c>
      <c r="G42" s="3">
        <v>2</v>
      </c>
      <c r="H42" s="13">
        <v>12500</v>
      </c>
      <c r="I42" s="3" t="s">
        <v>14</v>
      </c>
      <c r="J42" s="29" t="s">
        <v>15</v>
      </c>
      <c r="K42" s="36">
        <f>Table2[[#This Row],[Quantity]]*Table2[[#This Row],[UnitPrice]]</f>
        <v>25000</v>
      </c>
    </row>
    <row r="43" spans="1:11" ht="15" thickBot="1" x14ac:dyDescent="0.35">
      <c r="A43" s="28">
        <v>1041</v>
      </c>
      <c r="B43" s="6">
        <v>46255</v>
      </c>
      <c r="C43" s="3" t="s">
        <v>26</v>
      </c>
      <c r="D43" s="3" t="s">
        <v>11</v>
      </c>
      <c r="E43" s="3" t="s">
        <v>36</v>
      </c>
      <c r="F43" s="3" t="s">
        <v>13</v>
      </c>
      <c r="G43" s="3">
        <v>1</v>
      </c>
      <c r="H43" s="13">
        <v>9500</v>
      </c>
      <c r="I43" s="3" t="s">
        <v>19</v>
      </c>
      <c r="J43" s="29" t="s">
        <v>16</v>
      </c>
      <c r="K43" s="36">
        <f>Table2[[#This Row],[Quantity]]*Table2[[#This Row],[UnitPrice]]</f>
        <v>9500</v>
      </c>
    </row>
    <row r="44" spans="1:11" ht="15" hidden="1" thickBot="1" x14ac:dyDescent="0.35">
      <c r="A44" s="28">
        <v>1042</v>
      </c>
      <c r="B44" s="6">
        <v>46255</v>
      </c>
      <c r="C44" s="3" t="s">
        <v>69</v>
      </c>
      <c r="D44" s="3" t="s">
        <v>22</v>
      </c>
      <c r="E44" s="3" t="s">
        <v>31</v>
      </c>
      <c r="F44" s="3" t="s">
        <v>24</v>
      </c>
      <c r="G44" s="3">
        <v>5</v>
      </c>
      <c r="H44" s="13">
        <v>2400</v>
      </c>
      <c r="I44" s="3" t="s">
        <v>25</v>
      </c>
      <c r="J44" s="29" t="s">
        <v>20</v>
      </c>
      <c r="K44" s="3"/>
    </row>
    <row r="45" spans="1:11" ht="15" thickBot="1" x14ac:dyDescent="0.35">
      <c r="A45" s="28">
        <v>1043</v>
      </c>
      <c r="B45" s="6">
        <v>46256</v>
      </c>
      <c r="C45" s="3" t="s">
        <v>70</v>
      </c>
      <c r="D45" s="3" t="s">
        <v>17</v>
      </c>
      <c r="E45" s="3" t="s">
        <v>18</v>
      </c>
      <c r="F45" s="3" t="s">
        <v>13</v>
      </c>
      <c r="G45" s="3">
        <v>2</v>
      </c>
      <c r="H45" s="13">
        <v>26000</v>
      </c>
      <c r="I45" s="3" t="s">
        <v>14</v>
      </c>
      <c r="J45" s="29" t="s">
        <v>26</v>
      </c>
      <c r="K45" s="36">
        <f>Table2[[#This Row],[Quantity]]*Table2[[#This Row],[UnitPrice]]</f>
        <v>52000</v>
      </c>
    </row>
    <row r="46" spans="1:11" ht="15" hidden="1" thickBot="1" x14ac:dyDescent="0.35">
      <c r="A46" s="28">
        <v>1044</v>
      </c>
      <c r="B46" s="6">
        <v>46256</v>
      </c>
      <c r="C46" s="3" t="s">
        <v>71</v>
      </c>
      <c r="D46" s="3" t="s">
        <v>38</v>
      </c>
      <c r="E46" s="3" t="s">
        <v>23</v>
      </c>
      <c r="F46" s="3" t="s">
        <v>24</v>
      </c>
      <c r="G46" s="3">
        <v>4</v>
      </c>
      <c r="H46" s="13">
        <v>1250</v>
      </c>
      <c r="I46" s="3" t="s">
        <v>19</v>
      </c>
      <c r="J46" s="29" t="s">
        <v>15</v>
      </c>
      <c r="K46" s="3"/>
    </row>
    <row r="47" spans="1:11" ht="15" hidden="1" thickBot="1" x14ac:dyDescent="0.35">
      <c r="A47" s="28">
        <v>1045</v>
      </c>
      <c r="B47" s="6">
        <v>46257</v>
      </c>
      <c r="C47" s="3" t="s">
        <v>72</v>
      </c>
      <c r="D47" s="3" t="s">
        <v>30</v>
      </c>
      <c r="E47" s="3" t="s">
        <v>28</v>
      </c>
      <c r="F47" s="3" t="s">
        <v>24</v>
      </c>
      <c r="G47" s="3">
        <v>3</v>
      </c>
      <c r="H47" s="13">
        <v>950</v>
      </c>
      <c r="I47" s="3" t="s">
        <v>14</v>
      </c>
      <c r="J47" s="29" t="s">
        <v>16</v>
      </c>
      <c r="K47" s="3"/>
    </row>
    <row r="48" spans="1:11" ht="15" hidden="1" thickBot="1" x14ac:dyDescent="0.35">
      <c r="A48" s="28">
        <v>1046</v>
      </c>
      <c r="B48" s="6">
        <v>46257</v>
      </c>
      <c r="C48" s="3" t="s">
        <v>73</v>
      </c>
      <c r="D48" s="3" t="s">
        <v>11</v>
      </c>
      <c r="E48" s="3" t="s">
        <v>12</v>
      </c>
      <c r="F48" s="3" t="s">
        <v>13</v>
      </c>
      <c r="G48" s="3">
        <v>2</v>
      </c>
      <c r="H48" s="13">
        <v>59000</v>
      </c>
      <c r="I48" s="3" t="s">
        <v>25</v>
      </c>
      <c r="J48" s="29" t="s">
        <v>20</v>
      </c>
      <c r="K48" s="3"/>
    </row>
    <row r="49" spans="1:11" ht="15" thickBot="1" x14ac:dyDescent="0.35">
      <c r="A49" s="28">
        <v>1047</v>
      </c>
      <c r="B49" s="6">
        <v>46258</v>
      </c>
      <c r="C49" s="3" t="s">
        <v>74</v>
      </c>
      <c r="D49" s="3" t="s">
        <v>22</v>
      </c>
      <c r="E49" s="3" t="s">
        <v>33</v>
      </c>
      <c r="F49" s="3" t="s">
        <v>13</v>
      </c>
      <c r="G49" s="3">
        <v>3</v>
      </c>
      <c r="H49" s="13">
        <v>14000</v>
      </c>
      <c r="I49" s="3" t="s">
        <v>19</v>
      </c>
      <c r="J49" s="29" t="s">
        <v>26</v>
      </c>
      <c r="K49" s="36">
        <f>Table2[[#This Row],[Quantity]]*Table2[[#This Row],[UnitPrice]]</f>
        <v>42000</v>
      </c>
    </row>
    <row r="50" spans="1:11" ht="15" thickBot="1" x14ac:dyDescent="0.35">
      <c r="A50" s="28">
        <v>1048</v>
      </c>
      <c r="B50" s="6">
        <v>46258</v>
      </c>
      <c r="C50" s="3" t="s">
        <v>75</v>
      </c>
      <c r="D50" s="3" t="s">
        <v>17</v>
      </c>
      <c r="E50" s="3" t="s">
        <v>36</v>
      </c>
      <c r="F50" s="3" t="s">
        <v>13</v>
      </c>
      <c r="G50" s="3">
        <v>2</v>
      </c>
      <c r="H50" s="13">
        <v>9200</v>
      </c>
      <c r="I50" s="3" t="s">
        <v>14</v>
      </c>
      <c r="J50" s="29" t="s">
        <v>15</v>
      </c>
      <c r="K50" s="36">
        <f>Table2[[#This Row],[Quantity]]*Table2[[#This Row],[UnitPrice]]</f>
        <v>18400</v>
      </c>
    </row>
    <row r="51" spans="1:11" ht="15" thickBot="1" x14ac:dyDescent="0.35">
      <c r="A51" s="28">
        <v>1049</v>
      </c>
      <c r="B51" s="6">
        <v>46259</v>
      </c>
      <c r="C51" s="3" t="s">
        <v>76</v>
      </c>
      <c r="D51" s="3" t="s">
        <v>38</v>
      </c>
      <c r="E51" s="3" t="s">
        <v>18</v>
      </c>
      <c r="F51" s="3" t="s">
        <v>13</v>
      </c>
      <c r="G51" s="3">
        <v>3</v>
      </c>
      <c r="H51" s="13">
        <v>20000</v>
      </c>
      <c r="I51" s="3" t="s">
        <v>19</v>
      </c>
      <c r="J51" s="29" t="s">
        <v>16</v>
      </c>
      <c r="K51" s="36">
        <f>Table2[[#This Row],[Quantity]]*Table2[[#This Row],[UnitPrice]]</f>
        <v>60000</v>
      </c>
    </row>
    <row r="52" spans="1:11" hidden="1" x14ac:dyDescent="0.3">
      <c r="A52" s="34">
        <v>1050</v>
      </c>
      <c r="B52" s="25">
        <v>46259</v>
      </c>
      <c r="C52" s="26" t="s">
        <v>77</v>
      </c>
      <c r="D52" s="26" t="s">
        <v>30</v>
      </c>
      <c r="E52" s="26" t="s">
        <v>31</v>
      </c>
      <c r="F52" s="26" t="s">
        <v>24</v>
      </c>
      <c r="G52" s="26">
        <v>4</v>
      </c>
      <c r="H52" s="27">
        <v>2700</v>
      </c>
      <c r="I52" s="26" t="s">
        <v>25</v>
      </c>
      <c r="J52" s="35" t="s">
        <v>20</v>
      </c>
      <c r="K52" s="26"/>
    </row>
  </sheetData>
  <mergeCells count="1">
    <mergeCell ref="A1:J1"/>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BF72A-0E93-45FF-9270-C5E3252F3AA5}">
  <dimension ref="A1:P53"/>
  <sheetViews>
    <sheetView tabSelected="1" workbookViewId="0">
      <selection activeCell="S14" sqref="S14"/>
    </sheetView>
  </sheetViews>
  <sheetFormatPr defaultRowHeight="14.4" x14ac:dyDescent="0.3"/>
  <cols>
    <col min="1" max="1" width="7.5546875" bestFit="1" customWidth="1"/>
    <col min="2" max="2" width="10.33203125" bestFit="1" customWidth="1"/>
    <col min="3" max="3" width="9.109375" bestFit="1" customWidth="1"/>
    <col min="4" max="4" width="8.21875" bestFit="1" customWidth="1"/>
    <col min="5" max="5" width="11.109375" bestFit="1" customWidth="1"/>
    <col min="6" max="6" width="10.44140625" bestFit="1" customWidth="1"/>
    <col min="7" max="7" width="8.33203125" bestFit="1" customWidth="1"/>
    <col min="8" max="8" width="11.44140625" bestFit="1" customWidth="1"/>
    <col min="9" max="9" width="13.6640625" bestFit="1" customWidth="1"/>
    <col min="10" max="10" width="11" bestFit="1" customWidth="1"/>
    <col min="11" max="11" width="12.88671875" bestFit="1" customWidth="1"/>
    <col min="12" max="12" width="14.44140625" bestFit="1" customWidth="1"/>
    <col min="14" max="14" width="14.77734375" bestFit="1" customWidth="1"/>
    <col min="15" max="15" width="12.88671875" bestFit="1" customWidth="1"/>
    <col min="17" max="17" width="12.33203125" bestFit="1" customWidth="1"/>
  </cols>
  <sheetData>
    <row r="1" spans="1:16" ht="18.600000000000001" thickBot="1" x14ac:dyDescent="0.4">
      <c r="A1" s="70" t="s">
        <v>95</v>
      </c>
      <c r="B1" s="69"/>
      <c r="C1" s="69"/>
      <c r="D1" s="69"/>
      <c r="E1" s="69"/>
      <c r="F1" s="69"/>
      <c r="G1" s="69"/>
      <c r="H1" s="69"/>
      <c r="I1" s="69"/>
      <c r="J1" s="69"/>
      <c r="K1" s="69"/>
      <c r="L1" s="69"/>
    </row>
    <row r="2" spans="1:16" x14ac:dyDescent="0.3">
      <c r="A2" s="53" t="s">
        <v>0</v>
      </c>
      <c r="B2" s="54" t="s">
        <v>1</v>
      </c>
      <c r="C2" s="54" t="s">
        <v>2</v>
      </c>
      <c r="D2" s="54" t="s">
        <v>3</v>
      </c>
      <c r="E2" s="54" t="s">
        <v>4</v>
      </c>
      <c r="F2" s="54" t="s">
        <v>5</v>
      </c>
      <c r="G2" s="54" t="s">
        <v>6</v>
      </c>
      <c r="H2" s="55" t="s">
        <v>7</v>
      </c>
      <c r="I2" s="54" t="s">
        <v>8</v>
      </c>
      <c r="J2" s="54" t="s">
        <v>9</v>
      </c>
      <c r="K2" s="54" t="s">
        <v>82</v>
      </c>
      <c r="L2" s="56" t="s">
        <v>91</v>
      </c>
    </row>
    <row r="3" spans="1:16" ht="18.600000000000001" thickBot="1" x14ac:dyDescent="0.4">
      <c r="A3" s="57">
        <v>1001</v>
      </c>
      <c r="B3" s="49">
        <v>46235</v>
      </c>
      <c r="C3" s="48" t="s">
        <v>10</v>
      </c>
      <c r="D3" s="48" t="s">
        <v>11</v>
      </c>
      <c r="E3" s="48" t="s">
        <v>12</v>
      </c>
      <c r="F3" s="48" t="s">
        <v>13</v>
      </c>
      <c r="G3" s="48">
        <v>2</v>
      </c>
      <c r="H3" s="50">
        <v>55000</v>
      </c>
      <c r="I3" s="48" t="s">
        <v>14</v>
      </c>
      <c r="J3" s="48" t="s">
        <v>15</v>
      </c>
      <c r="K3" s="51">
        <f>G3*H3</f>
        <v>110000</v>
      </c>
      <c r="L3" s="58" t="str" cm="1">
        <f t="array" ref="L3">_xlfn.IFS(K3&gt;=100000,"Great Sale",K3&gt;=50000,"Good Sale",K3&gt;=30,"Avg Sale",K3&lt;=10000,"Poor Sale")</f>
        <v>Great Sale</v>
      </c>
      <c r="N3" s="72" t="s">
        <v>96</v>
      </c>
      <c r="O3" s="71"/>
      <c r="P3" s="71"/>
    </row>
    <row r="4" spans="1:16" x14ac:dyDescent="0.3">
      <c r="A4" s="57">
        <v>1002</v>
      </c>
      <c r="B4" s="49">
        <v>46235</v>
      </c>
      <c r="C4" s="48" t="s">
        <v>16</v>
      </c>
      <c r="D4" s="48" t="s">
        <v>17</v>
      </c>
      <c r="E4" s="48" t="s">
        <v>18</v>
      </c>
      <c r="F4" s="48" t="s">
        <v>13</v>
      </c>
      <c r="G4" s="48">
        <v>3</v>
      </c>
      <c r="H4" s="66">
        <v>22000</v>
      </c>
      <c r="I4" s="48" t="s">
        <v>19</v>
      </c>
      <c r="J4" s="48" t="s">
        <v>20</v>
      </c>
      <c r="K4" s="51">
        <f t="shared" ref="K4:K52" si="0">G4*H4</f>
        <v>66000</v>
      </c>
      <c r="L4" s="58" t="str" cm="1">
        <f t="array" ref="L4">_xlfn.IFS(K4&gt;=100000,"Great Sale",K4&gt;=50000,"Good Sale",K4&gt;=30,"Avg Sale",K4&lt;=10000,"Poor Sale")</f>
        <v>Good Sale</v>
      </c>
      <c r="N4" s="65" t="s">
        <v>99</v>
      </c>
      <c r="O4" s="67" t="s">
        <v>93</v>
      </c>
      <c r="P4" s="68" t="s">
        <v>94</v>
      </c>
    </row>
    <row r="5" spans="1:16" x14ac:dyDescent="0.3">
      <c r="A5" s="57">
        <v>1003</v>
      </c>
      <c r="B5" s="49">
        <v>46236</v>
      </c>
      <c r="C5" s="48" t="s">
        <v>21</v>
      </c>
      <c r="D5" s="48" t="s">
        <v>22</v>
      </c>
      <c r="E5" s="48" t="s">
        <v>23</v>
      </c>
      <c r="F5" s="48" t="s">
        <v>24</v>
      </c>
      <c r="G5" s="48">
        <v>5</v>
      </c>
      <c r="H5" s="50">
        <v>1200</v>
      </c>
      <c r="I5" s="48" t="s">
        <v>25</v>
      </c>
      <c r="J5" s="48" t="s">
        <v>26</v>
      </c>
      <c r="K5" s="51">
        <f t="shared" si="0"/>
        <v>6000</v>
      </c>
      <c r="L5" s="58" t="str" cm="1">
        <f t="array" ref="L5">_xlfn.IFS(K5&gt;=100000,"Great Sale",K5&gt;=50000,"Good Sale",K5&gt;=30,"Avg Sale",K5&lt;=10000,"Poor Sale")</f>
        <v>Avg Sale</v>
      </c>
      <c r="N5" s="57" t="s">
        <v>10</v>
      </c>
      <c r="O5" s="63">
        <f>SUMIF($C$3:$C$52,$N5,$K$3:$K$53)</f>
        <v>261500</v>
      </c>
      <c r="P5" s="52">
        <f>AVERAGEIF($C$3:$C$52,N5,$K$3:$K$53)</f>
        <v>52300</v>
      </c>
    </row>
    <row r="6" spans="1:16" x14ac:dyDescent="0.3">
      <c r="A6" s="57">
        <v>1004</v>
      </c>
      <c r="B6" s="49">
        <v>46236</v>
      </c>
      <c r="C6" s="48" t="s">
        <v>27</v>
      </c>
      <c r="D6" s="48" t="s">
        <v>11</v>
      </c>
      <c r="E6" s="48" t="s">
        <v>28</v>
      </c>
      <c r="F6" s="48" t="s">
        <v>24</v>
      </c>
      <c r="G6" s="48">
        <v>4</v>
      </c>
      <c r="H6" s="50">
        <v>800</v>
      </c>
      <c r="I6" s="48" t="s">
        <v>14</v>
      </c>
      <c r="J6" s="48" t="s">
        <v>15</v>
      </c>
      <c r="K6" s="51">
        <f t="shared" si="0"/>
        <v>3200</v>
      </c>
      <c r="L6" s="58" t="str" cm="1">
        <f t="array" ref="L6">_xlfn.IFS(K6&gt;=100000,"Great Sale",K6&gt;=50000,"Good Sale",K6&gt;=30,"Avg Sale",K6&lt;=10000,"Poor Sale")</f>
        <v>Avg Sale</v>
      </c>
      <c r="N6" s="57" t="s">
        <v>16</v>
      </c>
      <c r="O6" s="63">
        <f t="shared" ref="O6:O43" si="1">SUMIF($C$3:$C$52,$N6,$K$3:$K$53)</f>
        <v>66000</v>
      </c>
      <c r="P6" s="52">
        <f t="shared" ref="P6:P43" si="2">AVERAGEIF($C$3:$C$52,N6,$K$3:$K$53)</f>
        <v>66000</v>
      </c>
    </row>
    <row r="7" spans="1:16" x14ac:dyDescent="0.3">
      <c r="A7" s="57">
        <v>1005</v>
      </c>
      <c r="B7" s="49">
        <v>46237</v>
      </c>
      <c r="C7" s="48" t="s">
        <v>29</v>
      </c>
      <c r="D7" s="48" t="s">
        <v>30</v>
      </c>
      <c r="E7" s="48" t="s">
        <v>31</v>
      </c>
      <c r="F7" s="48" t="s">
        <v>24</v>
      </c>
      <c r="G7" s="48">
        <v>2</v>
      </c>
      <c r="H7" s="50">
        <v>2500</v>
      </c>
      <c r="I7" s="48" t="s">
        <v>19</v>
      </c>
      <c r="J7" s="48" t="s">
        <v>16</v>
      </c>
      <c r="K7" s="51">
        <f t="shared" si="0"/>
        <v>5000</v>
      </c>
      <c r="L7" s="58" t="str" cm="1">
        <f t="array" ref="L7">_xlfn.IFS(K7&gt;=100000,"Great Sale",K7&gt;=50000,"Good Sale",K7&gt;=30,"Avg Sale",K7&lt;=10000,"Poor Sale")</f>
        <v>Avg Sale</v>
      </c>
      <c r="N7" s="57" t="s">
        <v>21</v>
      </c>
      <c r="O7" s="63">
        <f t="shared" si="1"/>
        <v>10500</v>
      </c>
      <c r="P7" s="52">
        <f t="shared" si="2"/>
        <v>5250</v>
      </c>
    </row>
    <row r="8" spans="1:16" x14ac:dyDescent="0.3">
      <c r="A8" s="57">
        <v>1006</v>
      </c>
      <c r="B8" s="49">
        <v>46237</v>
      </c>
      <c r="C8" s="48" t="s">
        <v>32</v>
      </c>
      <c r="D8" s="48" t="s">
        <v>22</v>
      </c>
      <c r="E8" s="48" t="s">
        <v>33</v>
      </c>
      <c r="F8" s="48" t="s">
        <v>13</v>
      </c>
      <c r="G8" s="48">
        <v>2</v>
      </c>
      <c r="H8" s="50">
        <v>15000</v>
      </c>
      <c r="I8" s="48" t="s">
        <v>14</v>
      </c>
      <c r="J8" s="48" t="s">
        <v>20</v>
      </c>
      <c r="K8" s="51">
        <f t="shared" si="0"/>
        <v>30000</v>
      </c>
      <c r="L8" s="58" t="str" cm="1">
        <f t="array" ref="L8">_xlfn.IFS(K8&gt;=100000,"Great Sale",K8&gt;=50000,"Good Sale",K8&gt;=30,"Avg Sale",K8&lt;=10000,"Poor Sale")</f>
        <v>Avg Sale</v>
      </c>
      <c r="N8" s="57" t="s">
        <v>27</v>
      </c>
      <c r="O8" s="63">
        <f t="shared" si="1"/>
        <v>3200</v>
      </c>
      <c r="P8" s="52">
        <f t="shared" si="2"/>
        <v>3200</v>
      </c>
    </row>
    <row r="9" spans="1:16" x14ac:dyDescent="0.3">
      <c r="A9" s="57">
        <v>1007</v>
      </c>
      <c r="B9" s="49">
        <v>46238</v>
      </c>
      <c r="C9" s="48" t="s">
        <v>35</v>
      </c>
      <c r="D9" s="48" t="s">
        <v>17</v>
      </c>
      <c r="E9" s="48" t="s">
        <v>12</v>
      </c>
      <c r="F9" s="48" t="s">
        <v>13</v>
      </c>
      <c r="G9" s="48">
        <v>1</v>
      </c>
      <c r="H9" s="50">
        <v>62000</v>
      </c>
      <c r="I9" s="48" t="s">
        <v>19</v>
      </c>
      <c r="J9" s="48" t="s">
        <v>26</v>
      </c>
      <c r="K9" s="51">
        <f t="shared" si="0"/>
        <v>62000</v>
      </c>
      <c r="L9" s="58" t="str" cm="1">
        <f t="array" ref="L9">_xlfn.IFS(K9&gt;=100000,"Great Sale",K9&gt;=50000,"Good Sale",K9&gt;=30,"Avg Sale",K9&lt;=10000,"Poor Sale")</f>
        <v>Good Sale</v>
      </c>
      <c r="N9" s="57" t="s">
        <v>29</v>
      </c>
      <c r="O9" s="63">
        <f t="shared" si="1"/>
        <v>14500</v>
      </c>
      <c r="P9" s="52">
        <f t="shared" si="2"/>
        <v>7250</v>
      </c>
    </row>
    <row r="10" spans="1:16" x14ac:dyDescent="0.3">
      <c r="A10" s="57">
        <v>1008</v>
      </c>
      <c r="B10" s="49">
        <v>46238</v>
      </c>
      <c r="C10" s="48" t="s">
        <v>35</v>
      </c>
      <c r="D10" s="48" t="s">
        <v>11</v>
      </c>
      <c r="E10" s="48" t="s">
        <v>36</v>
      </c>
      <c r="F10" s="48" t="s">
        <v>13</v>
      </c>
      <c r="G10" s="48">
        <v>2</v>
      </c>
      <c r="H10" s="50">
        <v>9500</v>
      </c>
      <c r="I10" s="48" t="s">
        <v>25</v>
      </c>
      <c r="J10" s="48" t="s">
        <v>15</v>
      </c>
      <c r="K10" s="51">
        <f t="shared" si="0"/>
        <v>19000</v>
      </c>
      <c r="L10" s="58" t="str" cm="1">
        <f t="array" ref="L10">_xlfn.IFS(K10&gt;=100000,"Great Sale",K10&gt;=50000,"Good Sale",K10&gt;=30,"Avg Sale",K10&lt;=10000,"Poor Sale")</f>
        <v>Avg Sale</v>
      </c>
      <c r="N10" s="57" t="s">
        <v>32</v>
      </c>
      <c r="O10" s="63">
        <f t="shared" si="1"/>
        <v>30000</v>
      </c>
      <c r="P10" s="52">
        <f t="shared" si="2"/>
        <v>30000</v>
      </c>
    </row>
    <row r="11" spans="1:16" x14ac:dyDescent="0.3">
      <c r="A11" s="57">
        <v>1009</v>
      </c>
      <c r="B11" s="49">
        <v>46239</v>
      </c>
      <c r="C11" s="48" t="s">
        <v>37</v>
      </c>
      <c r="D11" s="48" t="s">
        <v>38</v>
      </c>
      <c r="E11" s="48" t="s">
        <v>78</v>
      </c>
      <c r="F11" s="48" t="s">
        <v>13</v>
      </c>
      <c r="G11" s="48">
        <v>2</v>
      </c>
      <c r="H11" s="50">
        <v>18000</v>
      </c>
      <c r="I11" s="48" t="s">
        <v>14</v>
      </c>
      <c r="J11" s="48" t="s">
        <v>16</v>
      </c>
      <c r="K11" s="51">
        <f t="shared" si="0"/>
        <v>36000</v>
      </c>
      <c r="L11" s="58" t="str" cm="1">
        <f t="array" ref="L11">_xlfn.IFS(K11&gt;=100000,"Great Sale",K11&gt;=50000,"Good Sale",K11&gt;=30,"Avg Sale",K11&lt;=10000,"Poor Sale")</f>
        <v>Avg Sale</v>
      </c>
      <c r="N11" s="57" t="s">
        <v>35</v>
      </c>
      <c r="O11" s="63">
        <f t="shared" si="1"/>
        <v>199000</v>
      </c>
      <c r="P11" s="52">
        <f t="shared" si="2"/>
        <v>66333.333333333328</v>
      </c>
    </row>
    <row r="12" spans="1:16" x14ac:dyDescent="0.3">
      <c r="A12" s="57">
        <v>1010</v>
      </c>
      <c r="B12" s="49">
        <v>46239</v>
      </c>
      <c r="C12" s="48" t="s">
        <v>21</v>
      </c>
      <c r="D12" s="48" t="s">
        <v>30</v>
      </c>
      <c r="E12" s="48" t="s">
        <v>23</v>
      </c>
      <c r="F12" s="48" t="s">
        <v>24</v>
      </c>
      <c r="G12" s="48">
        <v>3</v>
      </c>
      <c r="H12" s="50">
        <v>1500</v>
      </c>
      <c r="I12" s="48" t="s">
        <v>19</v>
      </c>
      <c r="J12" s="48" t="s">
        <v>20</v>
      </c>
      <c r="K12" s="51">
        <f t="shared" si="0"/>
        <v>4500</v>
      </c>
      <c r="L12" s="58" t="str" cm="1">
        <f t="array" ref="L12">_xlfn.IFS(K12&gt;=100000,"Great Sale",K12&gt;=50000,"Good Sale",K12&gt;=30,"Avg Sale",K12&lt;=10000,"Poor Sale")</f>
        <v>Avg Sale</v>
      </c>
      <c r="N12" s="57" t="s">
        <v>37</v>
      </c>
      <c r="O12" s="63">
        <f t="shared" si="1"/>
        <v>36000</v>
      </c>
      <c r="P12" s="52">
        <f t="shared" si="2"/>
        <v>36000</v>
      </c>
    </row>
    <row r="13" spans="1:16" x14ac:dyDescent="0.3">
      <c r="A13" s="57">
        <v>1011</v>
      </c>
      <c r="B13" s="49">
        <v>46240</v>
      </c>
      <c r="C13" s="48" t="s">
        <v>40</v>
      </c>
      <c r="D13" s="48" t="s">
        <v>11</v>
      </c>
      <c r="E13" s="48" t="s">
        <v>28</v>
      </c>
      <c r="F13" s="48" t="s">
        <v>24</v>
      </c>
      <c r="G13" s="48">
        <v>6</v>
      </c>
      <c r="H13" s="50">
        <v>700</v>
      </c>
      <c r="I13" s="48" t="s">
        <v>14</v>
      </c>
      <c r="J13" s="48" t="s">
        <v>26</v>
      </c>
      <c r="K13" s="51">
        <f t="shared" si="0"/>
        <v>4200</v>
      </c>
      <c r="L13" s="58" t="str" cm="1">
        <f t="array" ref="L13">_xlfn.IFS(K13&gt;=100000,"Great Sale",K13&gt;=50000,"Good Sale",K13&gt;=30,"Avg Sale",K13&lt;=10000,"Poor Sale")</f>
        <v>Avg Sale</v>
      </c>
      <c r="N13" s="57" t="s">
        <v>40</v>
      </c>
      <c r="O13" s="63">
        <f t="shared" si="1"/>
        <v>4200</v>
      </c>
      <c r="P13" s="52">
        <f t="shared" si="2"/>
        <v>4200</v>
      </c>
    </row>
    <row r="14" spans="1:16" x14ac:dyDescent="0.3">
      <c r="A14" s="57">
        <v>1012</v>
      </c>
      <c r="B14" s="49">
        <v>46240</v>
      </c>
      <c r="C14" s="48" t="s">
        <v>41</v>
      </c>
      <c r="D14" s="48" t="s">
        <v>22</v>
      </c>
      <c r="E14" s="48" t="s">
        <v>12</v>
      </c>
      <c r="F14" s="48" t="s">
        <v>13</v>
      </c>
      <c r="G14" s="48">
        <v>1</v>
      </c>
      <c r="H14" s="50">
        <v>58000</v>
      </c>
      <c r="I14" s="48" t="s">
        <v>19</v>
      </c>
      <c r="J14" s="48" t="s">
        <v>15</v>
      </c>
      <c r="K14" s="51">
        <f t="shared" si="0"/>
        <v>58000</v>
      </c>
      <c r="L14" s="58" t="str" cm="1">
        <f t="array" ref="L14">_xlfn.IFS(K14&gt;=100000,"Great Sale",K14&gt;=50000,"Good Sale",K14&gt;=30,"Avg Sale",K14&lt;=10000,"Poor Sale")</f>
        <v>Good Sale</v>
      </c>
      <c r="N14" s="57" t="s">
        <v>41</v>
      </c>
      <c r="O14" s="63">
        <f t="shared" si="1"/>
        <v>58000</v>
      </c>
      <c r="P14" s="52">
        <f t="shared" si="2"/>
        <v>58000</v>
      </c>
    </row>
    <row r="15" spans="1:16" x14ac:dyDescent="0.3">
      <c r="A15" s="57">
        <v>1013</v>
      </c>
      <c r="B15" s="49">
        <v>46241</v>
      </c>
      <c r="C15" s="48" t="s">
        <v>42</v>
      </c>
      <c r="D15" s="48" t="s">
        <v>17</v>
      </c>
      <c r="E15" s="48" t="s">
        <v>33</v>
      </c>
      <c r="F15" s="48" t="s">
        <v>13</v>
      </c>
      <c r="G15" s="48">
        <v>3</v>
      </c>
      <c r="H15" s="50">
        <v>13500</v>
      </c>
      <c r="I15" s="48" t="s">
        <v>14</v>
      </c>
      <c r="J15" s="48" t="s">
        <v>16</v>
      </c>
      <c r="K15" s="51">
        <f t="shared" si="0"/>
        <v>40500</v>
      </c>
      <c r="L15" s="58" t="str" cm="1">
        <f t="array" ref="L15">_xlfn.IFS(K15&gt;=100000,"Great Sale",K15&gt;=50000,"Good Sale",K15&gt;=30,"Avg Sale",K15&lt;=10000,"Poor Sale")</f>
        <v>Avg Sale</v>
      </c>
      <c r="N15" s="57" t="s">
        <v>42</v>
      </c>
      <c r="O15" s="63">
        <f t="shared" si="1"/>
        <v>40500</v>
      </c>
      <c r="P15" s="52">
        <f t="shared" si="2"/>
        <v>40500</v>
      </c>
    </row>
    <row r="16" spans="1:16" x14ac:dyDescent="0.3">
      <c r="A16" s="57">
        <v>1014</v>
      </c>
      <c r="B16" s="49">
        <v>46241</v>
      </c>
      <c r="C16" s="48" t="s">
        <v>43</v>
      </c>
      <c r="D16" s="48" t="s">
        <v>38</v>
      </c>
      <c r="E16" s="48" t="s">
        <v>31</v>
      </c>
      <c r="F16" s="48" t="s">
        <v>24</v>
      </c>
      <c r="G16" s="48">
        <v>4</v>
      </c>
      <c r="H16" s="50">
        <v>2200</v>
      </c>
      <c r="I16" s="48" t="s">
        <v>25</v>
      </c>
      <c r="J16" s="48" t="s">
        <v>20</v>
      </c>
      <c r="K16" s="51">
        <f t="shared" si="0"/>
        <v>8800</v>
      </c>
      <c r="L16" s="58" t="str" cm="1">
        <f t="array" ref="L16">_xlfn.IFS(K16&gt;=100000,"Great Sale",K16&gt;=50000,"Good Sale",K16&gt;=30,"Avg Sale",K16&lt;=10000,"Poor Sale")</f>
        <v>Avg Sale</v>
      </c>
      <c r="N16" s="57" t="s">
        <v>43</v>
      </c>
      <c r="O16" s="63">
        <f t="shared" si="1"/>
        <v>8800</v>
      </c>
      <c r="P16" s="52">
        <f t="shared" si="2"/>
        <v>8800</v>
      </c>
    </row>
    <row r="17" spans="1:16" x14ac:dyDescent="0.3">
      <c r="A17" s="57">
        <v>1015</v>
      </c>
      <c r="B17" s="49">
        <v>46242</v>
      </c>
      <c r="C17" s="48" t="s">
        <v>44</v>
      </c>
      <c r="D17" s="48" t="s">
        <v>30</v>
      </c>
      <c r="E17" s="48" t="s">
        <v>36</v>
      </c>
      <c r="F17" s="48" t="s">
        <v>13</v>
      </c>
      <c r="G17" s="48">
        <v>1</v>
      </c>
      <c r="H17" s="50">
        <v>11000</v>
      </c>
      <c r="I17" s="48" t="s">
        <v>19</v>
      </c>
      <c r="J17" s="48" t="s">
        <v>26</v>
      </c>
      <c r="K17" s="51">
        <f t="shared" si="0"/>
        <v>11000</v>
      </c>
      <c r="L17" s="58" t="str" cm="1">
        <f t="array" ref="L17">_xlfn.IFS(K17&gt;=100000,"Great Sale",K17&gt;=50000,"Good Sale",K17&gt;=30,"Avg Sale",K17&lt;=10000,"Poor Sale")</f>
        <v>Avg Sale</v>
      </c>
      <c r="N17" s="57" t="s">
        <v>44</v>
      </c>
      <c r="O17" s="63">
        <f t="shared" si="1"/>
        <v>11000</v>
      </c>
      <c r="P17" s="52">
        <f t="shared" si="2"/>
        <v>11000</v>
      </c>
    </row>
    <row r="18" spans="1:16" x14ac:dyDescent="0.3">
      <c r="A18" s="57">
        <v>1016</v>
      </c>
      <c r="B18" s="49">
        <v>46242</v>
      </c>
      <c r="C18" s="48" t="s">
        <v>45</v>
      </c>
      <c r="D18" s="48" t="s">
        <v>87</v>
      </c>
      <c r="E18" s="48" t="s">
        <v>18</v>
      </c>
      <c r="F18" s="48" t="s">
        <v>13</v>
      </c>
      <c r="G18" s="48">
        <v>3</v>
      </c>
      <c r="H18" s="50">
        <v>25000</v>
      </c>
      <c r="I18" s="48" t="s">
        <v>14</v>
      </c>
      <c r="J18" s="48" t="s">
        <v>15</v>
      </c>
      <c r="K18" s="51">
        <f t="shared" si="0"/>
        <v>75000</v>
      </c>
      <c r="L18" s="58" t="str" cm="1">
        <f t="array" ref="L18">_xlfn.IFS(K18&gt;=100000,"Great Sale",K18&gt;=50000,"Good Sale",K18&gt;=30,"Avg Sale",K18&lt;=10000,"Poor Sale")</f>
        <v>Good Sale</v>
      </c>
      <c r="N18" s="57" t="s">
        <v>45</v>
      </c>
      <c r="O18" s="63">
        <f t="shared" si="1"/>
        <v>106500</v>
      </c>
      <c r="P18" s="52">
        <f t="shared" si="2"/>
        <v>35500</v>
      </c>
    </row>
    <row r="19" spans="1:16" x14ac:dyDescent="0.3">
      <c r="A19" s="57">
        <v>1017</v>
      </c>
      <c r="B19" s="49">
        <v>46243</v>
      </c>
      <c r="C19" s="48" t="s">
        <v>45</v>
      </c>
      <c r="D19" s="48" t="s">
        <v>22</v>
      </c>
      <c r="E19" s="48" t="s">
        <v>23</v>
      </c>
      <c r="F19" s="48" t="s">
        <v>24</v>
      </c>
      <c r="G19" s="48">
        <v>5</v>
      </c>
      <c r="H19" s="50">
        <v>1300</v>
      </c>
      <c r="I19" s="48" t="s">
        <v>25</v>
      </c>
      <c r="J19" s="48" t="s">
        <v>16</v>
      </c>
      <c r="K19" s="51">
        <f t="shared" si="0"/>
        <v>6500</v>
      </c>
      <c r="L19" s="58" t="str" cm="1">
        <f t="array" ref="L19">_xlfn.IFS(K19&gt;=100000,"Great Sale",K19&gt;=50000,"Good Sale",K19&gt;=30,"Avg Sale",K19&lt;=10000,"Poor Sale")</f>
        <v>Avg Sale</v>
      </c>
      <c r="N19" s="57" t="s">
        <v>47</v>
      </c>
      <c r="O19" s="63">
        <f t="shared" si="1"/>
        <v>5200</v>
      </c>
      <c r="P19" s="52">
        <f t="shared" si="2"/>
        <v>5200</v>
      </c>
    </row>
    <row r="20" spans="1:16" x14ac:dyDescent="0.3">
      <c r="A20" s="57">
        <v>1018</v>
      </c>
      <c r="B20" s="49">
        <v>46243</v>
      </c>
      <c r="C20" s="48" t="s">
        <v>47</v>
      </c>
      <c r="D20" s="48" t="s">
        <v>17</v>
      </c>
      <c r="E20" s="48" t="s">
        <v>28</v>
      </c>
      <c r="F20" s="48" t="s">
        <v>24</v>
      </c>
      <c r="G20" s="48">
        <v>8</v>
      </c>
      <c r="H20" s="50">
        <v>650</v>
      </c>
      <c r="I20" s="48" t="s">
        <v>19</v>
      </c>
      <c r="J20" s="48" t="s">
        <v>20</v>
      </c>
      <c r="K20" s="51">
        <f t="shared" si="0"/>
        <v>5200</v>
      </c>
      <c r="L20" s="58" t="str" cm="1">
        <f t="array" ref="L20">_xlfn.IFS(K20&gt;=100000,"Great Sale",K20&gt;=50000,"Good Sale",K20&gt;=30,"Avg Sale",K20&lt;=10000,"Poor Sale")</f>
        <v>Avg Sale</v>
      </c>
      <c r="N20" s="57" t="s">
        <v>20</v>
      </c>
      <c r="O20" s="63">
        <f t="shared" si="1"/>
        <v>138000</v>
      </c>
      <c r="P20" s="52">
        <f t="shared" si="2"/>
        <v>69000</v>
      </c>
    </row>
    <row r="21" spans="1:16" x14ac:dyDescent="0.3">
      <c r="A21" s="57">
        <v>1019</v>
      </c>
      <c r="B21" s="49">
        <v>46244</v>
      </c>
      <c r="C21" s="48" t="s">
        <v>20</v>
      </c>
      <c r="D21" s="48" t="s">
        <v>38</v>
      </c>
      <c r="E21" s="48" t="s">
        <v>12</v>
      </c>
      <c r="F21" s="48" t="s">
        <v>13</v>
      </c>
      <c r="G21" s="48">
        <v>2</v>
      </c>
      <c r="H21" s="50">
        <v>60000</v>
      </c>
      <c r="I21" s="48" t="s">
        <v>14</v>
      </c>
      <c r="J21" s="48" t="s">
        <v>26</v>
      </c>
      <c r="K21" s="51">
        <f t="shared" si="0"/>
        <v>120000</v>
      </c>
      <c r="L21" s="58" t="str" cm="1">
        <f t="array" ref="L21">_xlfn.IFS(K21&gt;=100000,"Great Sale",K21&gt;=50000,"Good Sale",K21&gt;=30,"Avg Sale",K21&lt;=10000,"Poor Sale")</f>
        <v>Great Sale</v>
      </c>
      <c r="N21" s="57" t="s">
        <v>50</v>
      </c>
      <c r="O21" s="63">
        <f t="shared" si="1"/>
        <v>8400</v>
      </c>
      <c r="P21" s="52">
        <f t="shared" si="2"/>
        <v>8400</v>
      </c>
    </row>
    <row r="22" spans="1:16" x14ac:dyDescent="0.3">
      <c r="A22" s="57">
        <v>1020</v>
      </c>
      <c r="B22" s="49">
        <v>46244</v>
      </c>
      <c r="C22" s="48" t="s">
        <v>10</v>
      </c>
      <c r="D22" s="48" t="s">
        <v>30</v>
      </c>
      <c r="E22" s="48" t="s">
        <v>33</v>
      </c>
      <c r="F22" s="48" t="s">
        <v>13</v>
      </c>
      <c r="G22" s="48">
        <v>1</v>
      </c>
      <c r="H22" s="50">
        <v>16000</v>
      </c>
      <c r="I22" s="48" t="s">
        <v>19</v>
      </c>
      <c r="J22" s="48" t="s">
        <v>15</v>
      </c>
      <c r="K22" s="51">
        <f t="shared" si="0"/>
        <v>16000</v>
      </c>
      <c r="L22" s="58" t="str" cm="1">
        <f t="array" ref="L22">_xlfn.IFS(K22&gt;=100000,"Great Sale",K22&gt;=50000,"Good Sale",K22&gt;=30,"Avg Sale",K22&lt;=10000,"Poor Sale")</f>
        <v>Avg Sale</v>
      </c>
      <c r="N22" s="57" t="s">
        <v>52</v>
      </c>
      <c r="O22" s="63">
        <f t="shared" si="1"/>
        <v>5600</v>
      </c>
      <c r="P22" s="52">
        <f t="shared" si="2"/>
        <v>5600</v>
      </c>
    </row>
    <row r="23" spans="1:16" x14ac:dyDescent="0.3">
      <c r="A23" s="57">
        <v>1021</v>
      </c>
      <c r="B23" s="49">
        <v>46245</v>
      </c>
      <c r="C23" s="48" t="s">
        <v>20</v>
      </c>
      <c r="D23" s="48" t="s">
        <v>11</v>
      </c>
      <c r="E23" s="48" t="s">
        <v>36</v>
      </c>
      <c r="F23" s="48" t="s">
        <v>13</v>
      </c>
      <c r="G23" s="48">
        <v>2</v>
      </c>
      <c r="H23" s="50">
        <v>9000</v>
      </c>
      <c r="I23" s="48" t="s">
        <v>14</v>
      </c>
      <c r="J23" s="48" t="s">
        <v>16</v>
      </c>
      <c r="K23" s="51">
        <f t="shared" si="0"/>
        <v>18000</v>
      </c>
      <c r="L23" s="58" t="str" cm="1">
        <f t="array" ref="L23">_xlfn.IFS(K23&gt;=100000,"Great Sale",K23&gt;=50000,"Good Sale",K23&gt;=30,"Avg Sale",K23&lt;=10000,"Poor Sale")</f>
        <v>Avg Sale</v>
      </c>
      <c r="N23" s="57" t="s">
        <v>53</v>
      </c>
      <c r="O23" s="63">
        <f t="shared" si="1"/>
        <v>3750</v>
      </c>
      <c r="P23" s="52">
        <f t="shared" si="2"/>
        <v>3750</v>
      </c>
    </row>
    <row r="24" spans="1:16" x14ac:dyDescent="0.3">
      <c r="A24" s="57">
        <v>1022</v>
      </c>
      <c r="B24" s="49">
        <v>46245</v>
      </c>
      <c r="C24" s="48" t="s">
        <v>50</v>
      </c>
      <c r="D24" s="48" t="s">
        <v>22</v>
      </c>
      <c r="E24" s="48" t="s">
        <v>31</v>
      </c>
      <c r="F24" s="48" t="s">
        <v>24</v>
      </c>
      <c r="G24" s="48">
        <v>3</v>
      </c>
      <c r="H24" s="50">
        <v>2800</v>
      </c>
      <c r="I24" s="48" t="s">
        <v>25</v>
      </c>
      <c r="J24" s="48" t="s">
        <v>20</v>
      </c>
      <c r="K24" s="51">
        <f t="shared" si="0"/>
        <v>8400</v>
      </c>
      <c r="L24" s="58" t="str" cm="1">
        <f t="array" ref="L24">_xlfn.IFS(K24&gt;=100000,"Great Sale",K24&gt;=50000,"Good Sale",K24&gt;=30,"Avg Sale",K24&lt;=10000,"Poor Sale")</f>
        <v>Avg Sale</v>
      </c>
      <c r="N24" s="57" t="s">
        <v>92</v>
      </c>
      <c r="O24" s="63">
        <f t="shared" si="1"/>
        <v>65000</v>
      </c>
      <c r="P24" s="52">
        <f t="shared" si="2"/>
        <v>65000</v>
      </c>
    </row>
    <row r="25" spans="1:16" x14ac:dyDescent="0.3">
      <c r="A25" s="57">
        <v>1023</v>
      </c>
      <c r="B25" s="49">
        <v>46246</v>
      </c>
      <c r="C25" s="48" t="s">
        <v>10</v>
      </c>
      <c r="D25" s="48" t="s">
        <v>17</v>
      </c>
      <c r="E25" s="48" t="s">
        <v>18</v>
      </c>
      <c r="F25" s="48" t="s">
        <v>13</v>
      </c>
      <c r="G25" s="48">
        <v>2</v>
      </c>
      <c r="H25" s="50">
        <v>21000</v>
      </c>
      <c r="I25" s="48" t="s">
        <v>19</v>
      </c>
      <c r="J25" s="48" t="s">
        <v>26</v>
      </c>
      <c r="K25" s="51">
        <f t="shared" si="0"/>
        <v>42000</v>
      </c>
      <c r="L25" s="58" t="str" cm="1">
        <f t="array" ref="L25">_xlfn.IFS(K25&gt;=100000,"Great Sale",K25&gt;=50000,"Good Sale",K25&gt;=30,"Avg Sale",K25&lt;=10000,"Poor Sale")</f>
        <v>Avg Sale</v>
      </c>
      <c r="N25" s="57" t="s">
        <v>55</v>
      </c>
      <c r="O25" s="63">
        <f t="shared" si="1"/>
        <v>29000</v>
      </c>
      <c r="P25" s="52">
        <f t="shared" si="2"/>
        <v>29000</v>
      </c>
    </row>
    <row r="26" spans="1:16" x14ac:dyDescent="0.3">
      <c r="A26" s="57">
        <v>1024</v>
      </c>
      <c r="B26" s="49">
        <v>46246</v>
      </c>
      <c r="C26" s="48" t="s">
        <v>52</v>
      </c>
      <c r="D26" s="48" t="s">
        <v>38</v>
      </c>
      <c r="E26" s="48" t="s">
        <v>23</v>
      </c>
      <c r="F26" s="48" t="s">
        <v>24</v>
      </c>
      <c r="G26" s="48">
        <v>4</v>
      </c>
      <c r="H26" s="50">
        <v>1400</v>
      </c>
      <c r="I26" s="48" t="s">
        <v>14</v>
      </c>
      <c r="J26" s="48" t="s">
        <v>15</v>
      </c>
      <c r="K26" s="51">
        <f t="shared" si="0"/>
        <v>5600</v>
      </c>
      <c r="L26" s="58" t="str" cm="1">
        <f t="array" ref="L26">_xlfn.IFS(K26&gt;=100000,"Great Sale",K26&gt;=50000,"Good Sale",K26&gt;=30,"Avg Sale",K26&lt;=10000,"Poor Sale")</f>
        <v>Avg Sale</v>
      </c>
      <c r="N26" s="57" t="s">
        <v>56</v>
      </c>
      <c r="O26" s="63">
        <f t="shared" si="1"/>
        <v>25500</v>
      </c>
      <c r="P26" s="52">
        <f t="shared" si="2"/>
        <v>25500</v>
      </c>
    </row>
    <row r="27" spans="1:16" x14ac:dyDescent="0.3">
      <c r="A27" s="57">
        <v>1025</v>
      </c>
      <c r="B27" s="49">
        <v>46247</v>
      </c>
      <c r="C27" s="48" t="s">
        <v>53</v>
      </c>
      <c r="D27" s="48" t="s">
        <v>30</v>
      </c>
      <c r="E27" s="48" t="s">
        <v>28</v>
      </c>
      <c r="F27" s="48" t="s">
        <v>24</v>
      </c>
      <c r="G27" s="48">
        <v>5</v>
      </c>
      <c r="H27" s="50">
        <v>750</v>
      </c>
      <c r="I27" s="48" t="s">
        <v>25</v>
      </c>
      <c r="J27" s="48" t="s">
        <v>16</v>
      </c>
      <c r="K27" s="51">
        <f t="shared" si="0"/>
        <v>3750</v>
      </c>
      <c r="L27" s="58" t="str" cm="1">
        <f t="array" ref="L27">_xlfn.IFS(K27&gt;=100000,"Great Sale",K27&gt;=50000,"Good Sale",K27&gt;=30,"Avg Sale",K27&lt;=10000,"Poor Sale")</f>
        <v>Avg Sale</v>
      </c>
      <c r="N27" s="57" t="s">
        <v>57</v>
      </c>
      <c r="O27" s="63">
        <f t="shared" si="1"/>
        <v>23000</v>
      </c>
      <c r="P27" s="52">
        <f t="shared" si="2"/>
        <v>23000</v>
      </c>
    </row>
    <row r="28" spans="1:16" x14ac:dyDescent="0.3">
      <c r="A28" s="57">
        <v>1026</v>
      </c>
      <c r="B28" s="49">
        <v>46247</v>
      </c>
      <c r="C28" s="48" t="s">
        <v>92</v>
      </c>
      <c r="D28" s="48" t="s">
        <v>11</v>
      </c>
      <c r="E28" s="48" t="s">
        <v>12</v>
      </c>
      <c r="F28" s="48" t="s">
        <v>13</v>
      </c>
      <c r="G28" s="48">
        <v>1</v>
      </c>
      <c r="H28" s="50">
        <v>65000</v>
      </c>
      <c r="I28" s="48" t="s">
        <v>19</v>
      </c>
      <c r="J28" s="48" t="s">
        <v>20</v>
      </c>
      <c r="K28" s="51">
        <f t="shared" si="0"/>
        <v>65000</v>
      </c>
      <c r="L28" s="58" t="str" cm="1">
        <f t="array" ref="L28">_xlfn.IFS(K28&gt;=100000,"Great Sale",K28&gt;=50000,"Good Sale",K28&gt;=30,"Avg Sale",K28&lt;=10000,"Poor Sale")</f>
        <v>Good Sale</v>
      </c>
      <c r="N28" s="57" t="s">
        <v>58</v>
      </c>
      <c r="O28" s="63">
        <f t="shared" si="1"/>
        <v>6000</v>
      </c>
      <c r="P28" s="52">
        <f t="shared" si="2"/>
        <v>6000</v>
      </c>
    </row>
    <row r="29" spans="1:16" x14ac:dyDescent="0.3">
      <c r="A29" s="57">
        <v>1027</v>
      </c>
      <c r="B29" s="49">
        <v>46248</v>
      </c>
      <c r="C29" s="48" t="s">
        <v>55</v>
      </c>
      <c r="D29" s="48" t="s">
        <v>22</v>
      </c>
      <c r="E29" s="48" t="s">
        <v>33</v>
      </c>
      <c r="F29" s="48" t="s">
        <v>13</v>
      </c>
      <c r="G29" s="48">
        <v>2</v>
      </c>
      <c r="H29" s="50">
        <v>14500</v>
      </c>
      <c r="I29" s="48" t="s">
        <v>14</v>
      </c>
      <c r="J29" s="48" t="s">
        <v>26</v>
      </c>
      <c r="K29" s="51">
        <f t="shared" si="0"/>
        <v>29000</v>
      </c>
      <c r="L29" s="58" t="str" cm="1">
        <f t="array" ref="L29">_xlfn.IFS(K29&gt;=100000,"Great Sale",K29&gt;=50000,"Good Sale",K29&gt;=30,"Avg Sale",K29&lt;=10000,"Poor Sale")</f>
        <v>Avg Sale</v>
      </c>
      <c r="N29" s="57" t="s">
        <v>59</v>
      </c>
      <c r="O29" s="63">
        <f t="shared" si="1"/>
        <v>7700</v>
      </c>
      <c r="P29" s="52">
        <f t="shared" si="2"/>
        <v>7700</v>
      </c>
    </row>
    <row r="30" spans="1:16" x14ac:dyDescent="0.3">
      <c r="A30" s="57">
        <v>1028</v>
      </c>
      <c r="B30" s="49">
        <v>46248</v>
      </c>
      <c r="C30" s="48" t="s">
        <v>56</v>
      </c>
      <c r="D30" s="48" t="s">
        <v>17</v>
      </c>
      <c r="E30" s="48" t="s">
        <v>36</v>
      </c>
      <c r="F30" s="48" t="s">
        <v>13</v>
      </c>
      <c r="G30" s="48">
        <v>3</v>
      </c>
      <c r="H30" s="50">
        <v>8500</v>
      </c>
      <c r="I30" s="48" t="s">
        <v>19</v>
      </c>
      <c r="J30" s="48" t="s">
        <v>15</v>
      </c>
      <c r="K30" s="51">
        <f t="shared" si="0"/>
        <v>25500</v>
      </c>
      <c r="L30" s="58" t="str" cm="1">
        <f t="array" ref="L30">_xlfn.IFS(K30&gt;=100000,"Great Sale",K30&gt;=50000,"Good Sale",K30&gt;=30,"Avg Sale",K30&lt;=10000,"Poor Sale")</f>
        <v>Avg Sale</v>
      </c>
      <c r="N30" s="57" t="s">
        <v>60</v>
      </c>
      <c r="O30" s="63">
        <f t="shared" si="1"/>
        <v>3600</v>
      </c>
      <c r="P30" s="52">
        <f t="shared" si="2"/>
        <v>3600</v>
      </c>
    </row>
    <row r="31" spans="1:16" x14ac:dyDescent="0.3">
      <c r="A31" s="57">
        <v>1029</v>
      </c>
      <c r="B31" s="49">
        <v>46249</v>
      </c>
      <c r="C31" s="48" t="s">
        <v>57</v>
      </c>
      <c r="D31" s="48" t="s">
        <v>38</v>
      </c>
      <c r="E31" s="48" t="s">
        <v>18</v>
      </c>
      <c r="F31" s="48" t="s">
        <v>13</v>
      </c>
      <c r="G31" s="48">
        <v>1</v>
      </c>
      <c r="H31" s="50">
        <v>23000</v>
      </c>
      <c r="I31" s="48" t="s">
        <v>25</v>
      </c>
      <c r="J31" s="48" t="s">
        <v>16</v>
      </c>
      <c r="K31" s="51">
        <f t="shared" si="0"/>
        <v>23000</v>
      </c>
      <c r="L31" s="58" t="str" cm="1">
        <f t="array" ref="L31">_xlfn.IFS(K31&gt;=100000,"Great Sale",K31&gt;=50000,"Good Sale",K31&gt;=30,"Avg Sale",K31&lt;=10000,"Poor Sale")</f>
        <v>Avg Sale</v>
      </c>
      <c r="N31" s="57" t="s">
        <v>61</v>
      </c>
      <c r="O31" s="63">
        <f t="shared" si="1"/>
        <v>114000</v>
      </c>
      <c r="P31" s="52">
        <f t="shared" si="2"/>
        <v>114000</v>
      </c>
    </row>
    <row r="32" spans="1:16" x14ac:dyDescent="0.3">
      <c r="A32" s="57">
        <v>1030</v>
      </c>
      <c r="B32" s="49">
        <v>46249</v>
      </c>
      <c r="C32" s="48" t="s">
        <v>58</v>
      </c>
      <c r="D32" s="48" t="s">
        <v>30</v>
      </c>
      <c r="E32" s="48" t="s">
        <v>31</v>
      </c>
      <c r="F32" s="48" t="s">
        <v>24</v>
      </c>
      <c r="G32" s="48">
        <v>2</v>
      </c>
      <c r="H32" s="50">
        <v>3000</v>
      </c>
      <c r="I32" s="48" t="s">
        <v>14</v>
      </c>
      <c r="J32" s="48" t="s">
        <v>20</v>
      </c>
      <c r="K32" s="51">
        <f t="shared" si="0"/>
        <v>6000</v>
      </c>
      <c r="L32" s="58" t="str" cm="1">
        <f t="array" ref="L32">_xlfn.IFS(K32&gt;=100000,"Great Sale",K32&gt;=50000,"Good Sale",K32&gt;=30,"Avg Sale",K32&lt;=10000,"Poor Sale")</f>
        <v>Avg Sale</v>
      </c>
      <c r="N32" s="57" t="s">
        <v>63</v>
      </c>
      <c r="O32" s="63">
        <f t="shared" si="1"/>
        <v>20000</v>
      </c>
      <c r="P32" s="52">
        <f t="shared" si="2"/>
        <v>20000</v>
      </c>
    </row>
    <row r="33" spans="1:16" x14ac:dyDescent="0.3">
      <c r="A33" s="57">
        <v>1031</v>
      </c>
      <c r="B33" s="49">
        <v>46250</v>
      </c>
      <c r="C33" s="48" t="s">
        <v>59</v>
      </c>
      <c r="D33" s="48" t="s">
        <v>11</v>
      </c>
      <c r="E33" s="48" t="s">
        <v>23</v>
      </c>
      <c r="F33" s="48" t="s">
        <v>24</v>
      </c>
      <c r="G33" s="48">
        <v>7</v>
      </c>
      <c r="H33" s="50">
        <v>1100</v>
      </c>
      <c r="I33" s="48" t="s">
        <v>19</v>
      </c>
      <c r="J33" s="48" t="s">
        <v>26</v>
      </c>
      <c r="K33" s="51">
        <f t="shared" si="0"/>
        <v>7700</v>
      </c>
      <c r="L33" s="58" t="str" cm="1">
        <f t="array" ref="L33">_xlfn.IFS(K33&gt;=100000,"Great Sale",K33&gt;=50000,"Good Sale",K33&gt;=30,"Avg Sale",K33&lt;=10000,"Poor Sale")</f>
        <v>Avg Sale</v>
      </c>
      <c r="N33" s="57" t="s">
        <v>65</v>
      </c>
      <c r="O33" s="63">
        <f t="shared" si="1"/>
        <v>4800</v>
      </c>
      <c r="P33" s="52">
        <f t="shared" si="2"/>
        <v>4800</v>
      </c>
    </row>
    <row r="34" spans="1:16" x14ac:dyDescent="0.3">
      <c r="A34" s="57">
        <v>1032</v>
      </c>
      <c r="B34" s="49">
        <v>46250</v>
      </c>
      <c r="C34" s="48" t="s">
        <v>60</v>
      </c>
      <c r="D34" s="48" t="s">
        <v>22</v>
      </c>
      <c r="E34" s="48" t="s">
        <v>28</v>
      </c>
      <c r="F34" s="48" t="s">
        <v>24</v>
      </c>
      <c r="G34" s="48">
        <v>4</v>
      </c>
      <c r="H34" s="50">
        <v>900</v>
      </c>
      <c r="I34" s="48" t="s">
        <v>14</v>
      </c>
      <c r="J34" s="48" t="s">
        <v>15</v>
      </c>
      <c r="K34" s="51">
        <f t="shared" si="0"/>
        <v>3600</v>
      </c>
      <c r="L34" s="58" t="str" cm="1">
        <f t="array" ref="L34">_xlfn.IFS(K34&gt;=100000,"Great Sale",K34&gt;=50000,"Good Sale",K34&gt;=30,"Avg Sale",K34&lt;=10000,"Poor Sale")</f>
        <v>Avg Sale</v>
      </c>
      <c r="N34" s="57" t="s">
        <v>66</v>
      </c>
      <c r="O34" s="63">
        <f t="shared" si="1"/>
        <v>5100</v>
      </c>
      <c r="P34" s="52">
        <f t="shared" si="2"/>
        <v>5100</v>
      </c>
    </row>
    <row r="35" spans="1:16" x14ac:dyDescent="0.3">
      <c r="A35" s="57">
        <v>1033</v>
      </c>
      <c r="B35" s="49">
        <v>46251</v>
      </c>
      <c r="C35" s="48" t="s">
        <v>61</v>
      </c>
      <c r="D35" s="48" t="s">
        <v>17</v>
      </c>
      <c r="E35" s="48" t="s">
        <v>12</v>
      </c>
      <c r="F35" s="48" t="s">
        <v>13</v>
      </c>
      <c r="G35" s="48">
        <v>2</v>
      </c>
      <c r="H35" s="50">
        <v>57000</v>
      </c>
      <c r="I35" s="48" t="s">
        <v>19</v>
      </c>
      <c r="J35" s="48" t="s">
        <v>16</v>
      </c>
      <c r="K35" s="51">
        <f t="shared" si="0"/>
        <v>114000</v>
      </c>
      <c r="L35" s="58" t="str" cm="1">
        <f t="array" ref="L35">_xlfn.IFS(K35&gt;=100000,"Great Sale",K35&gt;=50000,"Good Sale",K35&gt;=30,"Avg Sale",K35&lt;=10000,"Poor Sale")</f>
        <v>Great Sale</v>
      </c>
      <c r="N35" s="57" t="s">
        <v>67</v>
      </c>
      <c r="O35" s="63">
        <f t="shared" si="1"/>
        <v>61000</v>
      </c>
      <c r="P35" s="52">
        <f t="shared" si="2"/>
        <v>61000</v>
      </c>
    </row>
    <row r="36" spans="1:16" x14ac:dyDescent="0.3">
      <c r="A36" s="57">
        <v>1034</v>
      </c>
      <c r="B36" s="49">
        <v>46251</v>
      </c>
      <c r="C36" s="48" t="s">
        <v>10</v>
      </c>
      <c r="D36" s="48" t="s">
        <v>38</v>
      </c>
      <c r="E36" s="48" t="s">
        <v>33</v>
      </c>
      <c r="F36" s="48" t="s">
        <v>13</v>
      </c>
      <c r="G36" s="48">
        <v>1</v>
      </c>
      <c r="H36" s="50">
        <v>15500</v>
      </c>
      <c r="I36" s="48" t="s">
        <v>25</v>
      </c>
      <c r="J36" s="48" t="s">
        <v>20</v>
      </c>
      <c r="K36" s="51">
        <f t="shared" si="0"/>
        <v>15500</v>
      </c>
      <c r="L36" s="58" t="str" cm="1">
        <f t="array" ref="L36">_xlfn.IFS(K36&gt;=100000,"Great Sale",K36&gt;=50000,"Good Sale",K36&gt;=30,"Avg Sale",K36&lt;=10000,"Poor Sale")</f>
        <v>Avg Sale</v>
      </c>
      <c r="N36" s="57" t="s">
        <v>69</v>
      </c>
      <c r="O36" s="63">
        <f t="shared" si="1"/>
        <v>12000</v>
      </c>
      <c r="P36" s="52">
        <f t="shared" si="2"/>
        <v>12000</v>
      </c>
    </row>
    <row r="37" spans="1:16" x14ac:dyDescent="0.3">
      <c r="A37" s="57">
        <v>1035</v>
      </c>
      <c r="B37" s="49">
        <v>46252</v>
      </c>
      <c r="C37" s="48" t="s">
        <v>63</v>
      </c>
      <c r="D37" s="48" t="s">
        <v>30</v>
      </c>
      <c r="E37" s="48" t="s">
        <v>36</v>
      </c>
      <c r="F37" s="48" t="s">
        <v>13</v>
      </c>
      <c r="G37" s="48">
        <v>2</v>
      </c>
      <c r="H37" s="50">
        <v>10000</v>
      </c>
      <c r="I37" s="48" t="s">
        <v>14</v>
      </c>
      <c r="J37" s="48" t="s">
        <v>26</v>
      </c>
      <c r="K37" s="51">
        <f t="shared" si="0"/>
        <v>20000</v>
      </c>
      <c r="L37" s="58" t="str" cm="1">
        <f t="array" ref="L37">_xlfn.IFS(K37&gt;=100000,"Great Sale",K37&gt;=50000,"Good Sale",K37&gt;=30,"Avg Sale",K37&lt;=10000,"Poor Sale")</f>
        <v>Avg Sale</v>
      </c>
      <c r="N37" s="57" t="s">
        <v>70</v>
      </c>
      <c r="O37" s="63">
        <f t="shared" si="1"/>
        <v>52000</v>
      </c>
      <c r="P37" s="52">
        <f t="shared" si="2"/>
        <v>52000</v>
      </c>
    </row>
    <row r="38" spans="1:16" x14ac:dyDescent="0.3">
      <c r="A38" s="57">
        <v>1036</v>
      </c>
      <c r="B38" s="49">
        <v>46252</v>
      </c>
      <c r="C38" s="48" t="s">
        <v>10</v>
      </c>
      <c r="D38" s="48" t="s">
        <v>11</v>
      </c>
      <c r="E38" s="48" t="s">
        <v>18</v>
      </c>
      <c r="F38" s="48" t="s">
        <v>13</v>
      </c>
      <c r="G38" s="48">
        <v>4</v>
      </c>
      <c r="H38" s="50">
        <v>19500</v>
      </c>
      <c r="I38" s="48" t="s">
        <v>19</v>
      </c>
      <c r="J38" s="48" t="s">
        <v>15</v>
      </c>
      <c r="K38" s="51">
        <f t="shared" si="0"/>
        <v>78000</v>
      </c>
      <c r="L38" s="58" t="str" cm="1">
        <f t="array" ref="L38">_xlfn.IFS(K38&gt;=100000,"Great Sale",K38&gt;=50000,"Good Sale",K38&gt;=30,"Avg Sale",K38&lt;=10000,"Poor Sale")</f>
        <v>Good Sale</v>
      </c>
      <c r="N38" s="57" t="s">
        <v>71</v>
      </c>
      <c r="O38" s="63">
        <f t="shared" si="1"/>
        <v>5000</v>
      </c>
      <c r="P38" s="52">
        <f t="shared" si="2"/>
        <v>5000</v>
      </c>
    </row>
    <row r="39" spans="1:16" x14ac:dyDescent="0.3">
      <c r="A39" s="57">
        <v>1037</v>
      </c>
      <c r="B39" s="49">
        <v>46253</v>
      </c>
      <c r="C39" s="48" t="s">
        <v>65</v>
      </c>
      <c r="D39" s="48" t="s">
        <v>22</v>
      </c>
      <c r="E39" s="48" t="s">
        <v>23</v>
      </c>
      <c r="F39" s="48" t="s">
        <v>24</v>
      </c>
      <c r="G39" s="48">
        <v>3</v>
      </c>
      <c r="H39" s="50">
        <v>1600</v>
      </c>
      <c r="I39" s="48" t="s">
        <v>14</v>
      </c>
      <c r="J39" s="48" t="s">
        <v>16</v>
      </c>
      <c r="K39" s="51">
        <f t="shared" si="0"/>
        <v>4800</v>
      </c>
      <c r="L39" s="58" t="str" cm="1">
        <f t="array" ref="L39">_xlfn.IFS(K39&gt;=100000,"Great Sale",K39&gt;=50000,"Good Sale",K39&gt;=30,"Avg Sale",K39&lt;=10000,"Poor Sale")</f>
        <v>Avg Sale</v>
      </c>
      <c r="N39" s="57" t="s">
        <v>72</v>
      </c>
      <c r="O39" s="63">
        <f t="shared" si="1"/>
        <v>2850</v>
      </c>
      <c r="P39" s="52">
        <f t="shared" si="2"/>
        <v>2850</v>
      </c>
    </row>
    <row r="40" spans="1:16" x14ac:dyDescent="0.3">
      <c r="A40" s="57">
        <v>1038</v>
      </c>
      <c r="B40" s="49">
        <v>46253</v>
      </c>
      <c r="C40" s="48" t="s">
        <v>66</v>
      </c>
      <c r="D40" s="48" t="s">
        <v>17</v>
      </c>
      <c r="E40" s="48" t="s">
        <v>28</v>
      </c>
      <c r="F40" s="48" t="s">
        <v>24</v>
      </c>
      <c r="G40" s="48">
        <v>6</v>
      </c>
      <c r="H40" s="50">
        <v>850</v>
      </c>
      <c r="I40" s="48" t="s">
        <v>25</v>
      </c>
      <c r="J40" s="48" t="s">
        <v>20</v>
      </c>
      <c r="K40" s="51">
        <f t="shared" si="0"/>
        <v>5100</v>
      </c>
      <c r="L40" s="58" t="str" cm="1">
        <f t="array" ref="L40">_xlfn.IFS(K40&gt;=100000,"Great Sale",K40&gt;=50000,"Good Sale",K40&gt;=30,"Avg Sale",K40&lt;=10000,"Poor Sale")</f>
        <v>Avg Sale</v>
      </c>
      <c r="N40" s="57" t="s">
        <v>74</v>
      </c>
      <c r="O40" s="63">
        <f t="shared" si="1"/>
        <v>42000</v>
      </c>
      <c r="P40" s="52">
        <f t="shared" si="2"/>
        <v>42000</v>
      </c>
    </row>
    <row r="41" spans="1:16" x14ac:dyDescent="0.3">
      <c r="A41" s="57">
        <v>1039</v>
      </c>
      <c r="B41" s="49">
        <v>46254</v>
      </c>
      <c r="C41" s="48" t="s">
        <v>67</v>
      </c>
      <c r="D41" s="48" t="s">
        <v>38</v>
      </c>
      <c r="E41" s="48" t="s">
        <v>12</v>
      </c>
      <c r="F41" s="48" t="s">
        <v>13</v>
      </c>
      <c r="G41" s="48">
        <v>1</v>
      </c>
      <c r="H41" s="50">
        <v>61000</v>
      </c>
      <c r="I41" s="48" t="s">
        <v>19</v>
      </c>
      <c r="J41" s="48" t="s">
        <v>26</v>
      </c>
      <c r="K41" s="51">
        <f t="shared" si="0"/>
        <v>61000</v>
      </c>
      <c r="L41" s="58" t="str" cm="1">
        <f t="array" ref="L41">_xlfn.IFS(K41&gt;=100000,"Great Sale",K41&gt;=50000,"Good Sale",K41&gt;=30,"Avg Sale",K41&lt;=10000,"Poor Sale")</f>
        <v>Good Sale</v>
      </c>
      <c r="N41" s="57" t="s">
        <v>75</v>
      </c>
      <c r="O41" s="63">
        <f t="shared" si="1"/>
        <v>18400</v>
      </c>
      <c r="P41" s="52">
        <f t="shared" si="2"/>
        <v>18400</v>
      </c>
    </row>
    <row r="42" spans="1:16" x14ac:dyDescent="0.3">
      <c r="A42" s="57">
        <v>1040</v>
      </c>
      <c r="B42" s="49">
        <v>46254</v>
      </c>
      <c r="C42" s="48" t="s">
        <v>45</v>
      </c>
      <c r="D42" s="48" t="s">
        <v>30</v>
      </c>
      <c r="E42" s="48" t="s">
        <v>33</v>
      </c>
      <c r="F42" s="48" t="s">
        <v>13</v>
      </c>
      <c r="G42" s="48">
        <v>2</v>
      </c>
      <c r="H42" s="50">
        <v>12500</v>
      </c>
      <c r="I42" s="48" t="s">
        <v>14</v>
      </c>
      <c r="J42" s="48" t="s">
        <v>15</v>
      </c>
      <c r="K42" s="51">
        <f t="shared" si="0"/>
        <v>25000</v>
      </c>
      <c r="L42" s="58" t="str" cm="1">
        <f t="array" ref="L42">_xlfn.IFS(K42&gt;=100000,"Great Sale",K42&gt;=50000,"Good Sale",K42&gt;=30,"Avg Sale",K42&lt;=10000,"Poor Sale")</f>
        <v>Avg Sale</v>
      </c>
      <c r="N42" s="57" t="s">
        <v>76</v>
      </c>
      <c r="O42" s="63">
        <f t="shared" si="1"/>
        <v>60000</v>
      </c>
      <c r="P42" s="52">
        <f t="shared" si="2"/>
        <v>60000</v>
      </c>
    </row>
    <row r="43" spans="1:16" x14ac:dyDescent="0.3">
      <c r="A43" s="57">
        <v>1041</v>
      </c>
      <c r="B43" s="49">
        <v>46255</v>
      </c>
      <c r="C43" s="48" t="s">
        <v>29</v>
      </c>
      <c r="D43" s="48" t="s">
        <v>11</v>
      </c>
      <c r="E43" s="48" t="s">
        <v>36</v>
      </c>
      <c r="F43" s="48" t="s">
        <v>13</v>
      </c>
      <c r="G43" s="48">
        <v>1</v>
      </c>
      <c r="H43" s="50">
        <v>9500</v>
      </c>
      <c r="I43" s="48" t="s">
        <v>19</v>
      </c>
      <c r="J43" s="48" t="s">
        <v>16</v>
      </c>
      <c r="K43" s="51">
        <f t="shared" si="0"/>
        <v>9500</v>
      </c>
      <c r="L43" s="58" t="str" cm="1">
        <f t="array" ref="L43">_xlfn.IFS(K43&gt;=100000,"Great Sale",K43&gt;=50000,"Good Sale",K43&gt;=30,"Avg Sale",K43&lt;=10000,"Poor Sale")</f>
        <v>Avg Sale</v>
      </c>
      <c r="N43" s="57" t="s">
        <v>77</v>
      </c>
      <c r="O43" s="63">
        <f t="shared" si="1"/>
        <v>10800</v>
      </c>
      <c r="P43" s="52">
        <f t="shared" si="2"/>
        <v>10800</v>
      </c>
    </row>
    <row r="44" spans="1:16" ht="15" thickBot="1" x14ac:dyDescent="0.35">
      <c r="A44" s="57">
        <v>1042</v>
      </c>
      <c r="B44" s="49">
        <v>46255</v>
      </c>
      <c r="C44" s="48" t="s">
        <v>69</v>
      </c>
      <c r="D44" s="48" t="s">
        <v>22</v>
      </c>
      <c r="E44" s="48" t="s">
        <v>31</v>
      </c>
      <c r="F44" s="48" t="s">
        <v>24</v>
      </c>
      <c r="G44" s="48">
        <v>5</v>
      </c>
      <c r="H44" s="50">
        <v>2400</v>
      </c>
      <c r="I44" s="48" t="s">
        <v>25</v>
      </c>
      <c r="J44" s="48" t="s">
        <v>20</v>
      </c>
      <c r="K44" s="51">
        <f t="shared" si="0"/>
        <v>12000</v>
      </c>
      <c r="L44" s="58" t="str" cm="1">
        <f t="array" ref="L44">_xlfn.IFS(K44&gt;=100000,"Great Sale",K44&gt;=50000,"Good Sale",K44&gt;=30,"Avg Sale",K44&lt;=10000,"Poor Sale")</f>
        <v>Avg Sale</v>
      </c>
      <c r="N44" s="59"/>
      <c r="O44" s="64">
        <f>SUM(O5:O43)</f>
        <v>1578400</v>
      </c>
      <c r="P44" s="60"/>
    </row>
    <row r="45" spans="1:16" x14ac:dyDescent="0.3">
      <c r="A45" s="57">
        <v>1043</v>
      </c>
      <c r="B45" s="49">
        <v>46256</v>
      </c>
      <c r="C45" s="48" t="s">
        <v>70</v>
      </c>
      <c r="D45" s="48" t="s">
        <v>17</v>
      </c>
      <c r="E45" s="48" t="s">
        <v>18</v>
      </c>
      <c r="F45" s="48" t="s">
        <v>13</v>
      </c>
      <c r="G45" s="48">
        <v>2</v>
      </c>
      <c r="H45" s="50">
        <v>26000</v>
      </c>
      <c r="I45" s="48" t="s">
        <v>14</v>
      </c>
      <c r="J45" s="48" t="s">
        <v>26</v>
      </c>
      <c r="K45" s="51">
        <f t="shared" si="0"/>
        <v>52000</v>
      </c>
      <c r="L45" s="58" t="str" cm="1">
        <f t="array" ref="L45">_xlfn.IFS(K45&gt;=100000,"Great Sale",K45&gt;=50000,"Good Sale",K45&gt;=30,"Avg Sale",K45&lt;=10000,"Poor Sale")</f>
        <v>Good Sale</v>
      </c>
    </row>
    <row r="46" spans="1:16" x14ac:dyDescent="0.3">
      <c r="A46" s="57">
        <v>1044</v>
      </c>
      <c r="B46" s="49">
        <v>46256</v>
      </c>
      <c r="C46" s="48" t="s">
        <v>71</v>
      </c>
      <c r="D46" s="48" t="s">
        <v>38</v>
      </c>
      <c r="E46" s="48" t="s">
        <v>23</v>
      </c>
      <c r="F46" s="48" t="s">
        <v>24</v>
      </c>
      <c r="G46" s="48">
        <v>4</v>
      </c>
      <c r="H46" s="50">
        <v>1250</v>
      </c>
      <c r="I46" s="48" t="s">
        <v>19</v>
      </c>
      <c r="J46" s="48" t="s">
        <v>15</v>
      </c>
      <c r="K46" s="51">
        <f t="shared" si="0"/>
        <v>5000</v>
      </c>
      <c r="L46" s="58" t="str" cm="1">
        <f t="array" ref="L46">_xlfn.IFS(K46&gt;=100000,"Great Sale",K46&gt;=50000,"Good Sale",K46&gt;=30,"Avg Sale",K46&lt;=10000,"Poor Sale")</f>
        <v>Avg Sale</v>
      </c>
    </row>
    <row r="47" spans="1:16" x14ac:dyDescent="0.3">
      <c r="A47" s="57">
        <v>1045</v>
      </c>
      <c r="B47" s="49">
        <v>46257</v>
      </c>
      <c r="C47" s="48" t="s">
        <v>72</v>
      </c>
      <c r="D47" s="48" t="s">
        <v>30</v>
      </c>
      <c r="E47" s="48" t="s">
        <v>28</v>
      </c>
      <c r="F47" s="48" t="s">
        <v>24</v>
      </c>
      <c r="G47" s="48">
        <v>3</v>
      </c>
      <c r="H47" s="50">
        <v>950</v>
      </c>
      <c r="I47" s="48" t="s">
        <v>14</v>
      </c>
      <c r="J47" s="48" t="s">
        <v>16</v>
      </c>
      <c r="K47" s="51">
        <f t="shared" si="0"/>
        <v>2850</v>
      </c>
      <c r="L47" s="58" t="str" cm="1">
        <f t="array" ref="L47">_xlfn.IFS(K47&gt;=100000,"Great Sale",K47&gt;=50000,"Good Sale",K47&gt;=30,"Avg Sale",K47&lt;=10000,"Poor Sale")</f>
        <v>Avg Sale</v>
      </c>
    </row>
    <row r="48" spans="1:16" x14ac:dyDescent="0.3">
      <c r="A48" s="57">
        <v>1046</v>
      </c>
      <c r="B48" s="49">
        <v>46257</v>
      </c>
      <c r="C48" s="48" t="s">
        <v>35</v>
      </c>
      <c r="D48" s="48" t="s">
        <v>11</v>
      </c>
      <c r="E48" s="48" t="s">
        <v>12</v>
      </c>
      <c r="F48" s="48" t="s">
        <v>13</v>
      </c>
      <c r="G48" s="48">
        <v>2</v>
      </c>
      <c r="H48" s="50">
        <v>59000</v>
      </c>
      <c r="I48" s="48" t="s">
        <v>25</v>
      </c>
      <c r="J48" s="48" t="s">
        <v>20</v>
      </c>
      <c r="K48" s="51">
        <f t="shared" si="0"/>
        <v>118000</v>
      </c>
      <c r="L48" s="58" t="str" cm="1">
        <f t="array" ref="L48">_xlfn.IFS(K48&gt;=100000,"Great Sale",K48&gt;=50000,"Good Sale",K48&gt;=30,"Avg Sale",K48&lt;=10000,"Poor Sale")</f>
        <v>Great Sale</v>
      </c>
    </row>
    <row r="49" spans="1:12" x14ac:dyDescent="0.3">
      <c r="A49" s="57">
        <v>1047</v>
      </c>
      <c r="B49" s="49">
        <v>46258</v>
      </c>
      <c r="C49" s="48" t="s">
        <v>74</v>
      </c>
      <c r="D49" s="48" t="s">
        <v>22</v>
      </c>
      <c r="E49" s="48" t="s">
        <v>33</v>
      </c>
      <c r="F49" s="48" t="s">
        <v>13</v>
      </c>
      <c r="G49" s="48">
        <v>3</v>
      </c>
      <c r="H49" s="50">
        <v>14000</v>
      </c>
      <c r="I49" s="48" t="s">
        <v>19</v>
      </c>
      <c r="J49" s="48" t="s">
        <v>26</v>
      </c>
      <c r="K49" s="51">
        <f t="shared" si="0"/>
        <v>42000</v>
      </c>
      <c r="L49" s="58" t="str" cm="1">
        <f t="array" ref="L49">_xlfn.IFS(K49&gt;=100000,"Great Sale",K49&gt;=50000,"Good Sale",K49&gt;=30,"Avg Sale",K49&lt;=10000,"Poor Sale")</f>
        <v>Avg Sale</v>
      </c>
    </row>
    <row r="50" spans="1:12" x14ac:dyDescent="0.3">
      <c r="A50" s="57">
        <v>1048</v>
      </c>
      <c r="B50" s="49">
        <v>46258</v>
      </c>
      <c r="C50" s="48" t="s">
        <v>75</v>
      </c>
      <c r="D50" s="48" t="s">
        <v>17</v>
      </c>
      <c r="E50" s="48" t="s">
        <v>36</v>
      </c>
      <c r="F50" s="48" t="s">
        <v>13</v>
      </c>
      <c r="G50" s="48">
        <v>2</v>
      </c>
      <c r="H50" s="50">
        <v>9200</v>
      </c>
      <c r="I50" s="48" t="s">
        <v>14</v>
      </c>
      <c r="J50" s="48" t="s">
        <v>15</v>
      </c>
      <c r="K50" s="51">
        <f t="shared" si="0"/>
        <v>18400</v>
      </c>
      <c r="L50" s="58" t="str" cm="1">
        <f t="array" ref="L50">_xlfn.IFS(K50&gt;=100000,"Great Sale",K50&gt;=50000,"Good Sale",K50&gt;=30,"Avg Sale",K50&lt;=10000,"Poor Sale")</f>
        <v>Avg Sale</v>
      </c>
    </row>
    <row r="51" spans="1:12" x14ac:dyDescent="0.3">
      <c r="A51" s="57">
        <v>1049</v>
      </c>
      <c r="B51" s="49">
        <v>46259</v>
      </c>
      <c r="C51" s="48" t="s">
        <v>76</v>
      </c>
      <c r="D51" s="48" t="s">
        <v>38</v>
      </c>
      <c r="E51" s="48" t="s">
        <v>18</v>
      </c>
      <c r="F51" s="48" t="s">
        <v>13</v>
      </c>
      <c r="G51" s="48">
        <v>3</v>
      </c>
      <c r="H51" s="50">
        <v>20000</v>
      </c>
      <c r="I51" s="48" t="s">
        <v>19</v>
      </c>
      <c r="J51" s="48" t="s">
        <v>16</v>
      </c>
      <c r="K51" s="51">
        <f t="shared" si="0"/>
        <v>60000</v>
      </c>
      <c r="L51" s="58" t="str" cm="1">
        <f t="array" ref="L51">_xlfn.IFS(K51&gt;=100000,"Great Sale",K51&gt;=50000,"Good Sale",K51&gt;=30,"Avg Sale",K51&lt;=10000,"Poor Sale")</f>
        <v>Good Sale</v>
      </c>
    </row>
    <row r="52" spans="1:12" x14ac:dyDescent="0.3">
      <c r="A52" s="57">
        <v>1050</v>
      </c>
      <c r="B52" s="49">
        <v>46259</v>
      </c>
      <c r="C52" s="48" t="s">
        <v>77</v>
      </c>
      <c r="D52" s="48" t="s">
        <v>30</v>
      </c>
      <c r="E52" s="48" t="s">
        <v>31</v>
      </c>
      <c r="F52" s="48" t="s">
        <v>24</v>
      </c>
      <c r="G52" s="48">
        <v>4</v>
      </c>
      <c r="H52" s="50">
        <v>2700</v>
      </c>
      <c r="I52" s="48" t="s">
        <v>25</v>
      </c>
      <c r="J52" s="48" t="s">
        <v>20</v>
      </c>
      <c r="K52" s="51">
        <f t="shared" si="0"/>
        <v>10800</v>
      </c>
      <c r="L52" s="58" t="str" cm="1">
        <f t="array" ref="L52">_xlfn.IFS(K52&gt;=100000,"Great Sale",K52&gt;=50000,"Good Sale",K52&gt;=30,"Avg Sale",K52&lt;=10000,"Poor Sale")</f>
        <v>Avg Sale</v>
      </c>
    </row>
    <row r="53" spans="1:12" ht="15" thickBot="1" x14ac:dyDescent="0.35">
      <c r="A53" s="59"/>
      <c r="B53" s="60"/>
      <c r="C53" s="60"/>
      <c r="D53" s="60"/>
      <c r="E53" s="60"/>
      <c r="F53" s="60"/>
      <c r="G53" s="60"/>
      <c r="H53" s="60"/>
      <c r="I53" s="60"/>
      <c r="J53" s="60"/>
      <c r="K53" s="61">
        <f>SUBTOTAL(9,K2:K52)</f>
        <v>1578400</v>
      </c>
      <c r="L53" s="62" t="str" cm="1">
        <f t="array" ref="L53">_xlfn.IFS(K53&gt;=100000,"Great Sale",K53&gt;=50000,"Good Sale",K53&gt;=30,"Avg Sale",K53&lt;=10000,"Poor Sale")</f>
        <v>Great Sale</v>
      </c>
    </row>
  </sheetData>
  <mergeCells count="2">
    <mergeCell ref="A1:L1"/>
    <mergeCell ref="N3:P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8228B-6F59-42E2-8B9F-A6E0BC93BE29}">
  <dimension ref="A1:I27"/>
  <sheetViews>
    <sheetView workbookViewId="0">
      <selection activeCell="L8" sqref="L8"/>
    </sheetView>
  </sheetViews>
  <sheetFormatPr defaultRowHeight="14.4" x14ac:dyDescent="0.3"/>
  <cols>
    <col min="1" max="1" width="7.5546875" bestFit="1" customWidth="1"/>
    <col min="2" max="2" width="10.33203125" bestFit="1" customWidth="1"/>
    <col min="3" max="3" width="9.109375" bestFit="1" customWidth="1"/>
    <col min="9" max="9" width="17.44140625" customWidth="1"/>
    <col min="10" max="10" width="10.33203125" bestFit="1" customWidth="1"/>
    <col min="11" max="11" width="9.109375" bestFit="1" customWidth="1"/>
    <col min="12" max="12" width="8.21875" bestFit="1" customWidth="1"/>
    <col min="13" max="13" width="11.109375" bestFit="1" customWidth="1"/>
  </cols>
  <sheetData>
    <row r="1" spans="1:9" x14ac:dyDescent="0.3">
      <c r="A1" s="74" t="s">
        <v>97</v>
      </c>
      <c r="B1" s="75"/>
      <c r="C1" s="75"/>
      <c r="D1" s="75"/>
      <c r="E1" s="76"/>
    </row>
    <row r="2" spans="1:9" x14ac:dyDescent="0.3">
      <c r="A2" s="77" t="s">
        <v>0</v>
      </c>
      <c r="B2" s="47" t="s">
        <v>1</v>
      </c>
      <c r="C2" s="47" t="s">
        <v>2</v>
      </c>
      <c r="D2" s="47" t="s">
        <v>3</v>
      </c>
      <c r="E2" s="78" t="s">
        <v>6</v>
      </c>
    </row>
    <row r="3" spans="1:9" x14ac:dyDescent="0.3">
      <c r="A3" s="57">
        <v>1001</v>
      </c>
      <c r="B3" s="49">
        <v>46235</v>
      </c>
      <c r="C3" s="48" t="s">
        <v>10</v>
      </c>
      <c r="D3" s="73" t="str">
        <f>VLOOKUP(A3,'Logical formula'!A3:D14,4,FALSE)</f>
        <v>Lucknow</v>
      </c>
      <c r="E3" s="79">
        <f>VLOOKUP(A3,'Logical formula'!A3:$L$14,MATCH('Lookup , VLookup , Index'!$E$2,'Logical formula'!$A$2:$L$2,0))</f>
        <v>2</v>
      </c>
    </row>
    <row r="4" spans="1:9" ht="15" thickBot="1" x14ac:dyDescent="0.35">
      <c r="A4" s="57">
        <v>1002</v>
      </c>
      <c r="B4" s="49">
        <v>46235</v>
      </c>
      <c r="C4" s="48" t="s">
        <v>16</v>
      </c>
      <c r="D4" s="73" t="str">
        <f>VLOOKUP(A4,'Logical formula'!A4:D15,4,FALSE)</f>
        <v>Kanpur</v>
      </c>
      <c r="E4" s="79">
        <f>VLOOKUP(A4,'Logical formula'!A4:$L$14,MATCH('Lookup , VLookup , Index'!$E$2,'Logical formula'!$A$2:$L$2,0))</f>
        <v>3</v>
      </c>
    </row>
    <row r="5" spans="1:9" x14ac:dyDescent="0.3">
      <c r="A5" s="57">
        <v>1003</v>
      </c>
      <c r="B5" s="49">
        <v>46236</v>
      </c>
      <c r="C5" s="48" t="s">
        <v>21</v>
      </c>
      <c r="D5" s="73" t="str">
        <f>VLOOKUP(A5,'Logical formula'!A5:D16,4,FALSE)</f>
        <v>Delhi</v>
      </c>
      <c r="E5" s="79">
        <f>VLOOKUP(A5,'Logical formula'!A5:$L$14,MATCH('Lookup , VLookup , Index'!$E$2,'Logical formula'!$A$2:$L$2,0))</f>
        <v>5</v>
      </c>
      <c r="H5" s="85" t="s">
        <v>98</v>
      </c>
      <c r="I5" s="86"/>
    </row>
    <row r="6" spans="1:9" x14ac:dyDescent="0.3">
      <c r="A6" s="57">
        <v>1004</v>
      </c>
      <c r="B6" s="49">
        <v>46236</v>
      </c>
      <c r="C6" s="48" t="s">
        <v>27</v>
      </c>
      <c r="D6" s="73" t="str">
        <f>VLOOKUP(A6,'Logical formula'!A6:D17,4,FALSE)</f>
        <v>Lucknow</v>
      </c>
      <c r="E6" s="79">
        <f>VLOOKUP(A6,'Logical formula'!A6:$L$14,MATCH('Lookup , VLookup , Index'!$E$2,'Logical formula'!$A$2:$L$2,0))</f>
        <v>4</v>
      </c>
      <c r="H6" s="77" t="s">
        <v>0</v>
      </c>
      <c r="I6" s="78" t="s">
        <v>2</v>
      </c>
    </row>
    <row r="7" spans="1:9" x14ac:dyDescent="0.3">
      <c r="A7" s="57">
        <v>1005</v>
      </c>
      <c r="B7" s="49">
        <v>46237</v>
      </c>
      <c r="C7" s="48" t="s">
        <v>29</v>
      </c>
      <c r="D7" s="73" t="str">
        <f>VLOOKUP(A7,'Logical formula'!A7:D18,4,FALSE)</f>
        <v>Jaipur</v>
      </c>
      <c r="E7" s="79">
        <f>VLOOKUP(A7,'Logical formula'!A7:$L$14,MATCH('Lookup , VLookup , Index'!$E$2,'Logical formula'!$A$2:$L$2,0))</f>
        <v>2</v>
      </c>
      <c r="H7" s="57">
        <v>1001</v>
      </c>
      <c r="I7" s="58" t="str">
        <f>INDEX($A$3:$E$14,MATCH(H7,$A$3:$A$14,0),MATCH($I$6,$A$2:$E$2,0))</f>
        <v>Rahul</v>
      </c>
    </row>
    <row r="8" spans="1:9" x14ac:dyDescent="0.3">
      <c r="A8" s="57">
        <v>1006</v>
      </c>
      <c r="B8" s="49">
        <v>46237</v>
      </c>
      <c r="C8" s="48" t="s">
        <v>32</v>
      </c>
      <c r="D8" s="73" t="str">
        <f>VLOOKUP(A8,'Logical formula'!A8:D19,4,FALSE)</f>
        <v>Delhi</v>
      </c>
      <c r="E8" s="79">
        <f>VLOOKUP(A8,'Logical formula'!A8:$L$14,MATCH('Lookup , VLookup , Index'!$E$2,'Logical formula'!$A$2:$L$2,0))</f>
        <v>2</v>
      </c>
      <c r="H8" s="57">
        <v>1002</v>
      </c>
      <c r="I8" s="58" t="str">
        <f>INDEX($A$3:$E$14,MATCH(H8,$A$3:$A$14,0),MATCH($I$6,$A$2:$E$2,0))</f>
        <v>Priya</v>
      </c>
    </row>
    <row r="9" spans="1:9" x14ac:dyDescent="0.3">
      <c r="A9" s="57">
        <v>1007</v>
      </c>
      <c r="B9" s="49">
        <v>46238</v>
      </c>
      <c r="C9" s="48" t="s">
        <v>35</v>
      </c>
      <c r="D9" s="73" t="str">
        <f>VLOOKUP(A9,'Logical formula'!A9:D20,4,FALSE)</f>
        <v>Kanpur</v>
      </c>
      <c r="E9" s="79">
        <f>VLOOKUP(A9,'Logical formula'!A9:$L$14,MATCH('Lookup , VLookup , Index'!$E$2,'Logical formula'!$A$2:$L$2,0))</f>
        <v>1</v>
      </c>
      <c r="H9" s="57">
        <v>1003</v>
      </c>
      <c r="I9" s="58" t="str">
        <f>INDEX($A$3:$E$14,MATCH(H9,$A$3:$A$14,0),MATCH($I$6,$A$2:$E$2,0))</f>
        <v>Ankit</v>
      </c>
    </row>
    <row r="10" spans="1:9" x14ac:dyDescent="0.3">
      <c r="A10" s="57">
        <v>1008</v>
      </c>
      <c r="B10" s="49">
        <v>46238</v>
      </c>
      <c r="C10" s="48" t="s">
        <v>35</v>
      </c>
      <c r="D10" s="73" t="str">
        <f>VLOOKUP(A10,'Logical formula'!A10:D21,4,FALSE)</f>
        <v>Lucknow</v>
      </c>
      <c r="E10" s="79">
        <f>VLOOKUP(A10,'Logical formula'!A10:$L$14,MATCH('Lookup , VLookup , Index'!$E$2,'Logical formula'!$A$2:$L$2,0))</f>
        <v>2</v>
      </c>
      <c r="H10" s="57">
        <v>1006</v>
      </c>
      <c r="I10" s="58" t="str">
        <f>INDEX($A$3:$E$14,MATCH(H10,$A$3:$A$14,0),MATCH($I$6,$A$2:$E$2,0))</f>
        <v>Pooja</v>
      </c>
    </row>
    <row r="11" spans="1:9" ht="15" thickBot="1" x14ac:dyDescent="0.35">
      <c r="A11" s="57">
        <v>1009</v>
      </c>
      <c r="B11" s="49">
        <v>46239</v>
      </c>
      <c r="C11" s="48" t="s">
        <v>37</v>
      </c>
      <c r="D11" s="73" t="str">
        <f>VLOOKUP(A11,'Logical formula'!A11:D22,4,FALSE)</f>
        <v>Agra</v>
      </c>
      <c r="E11" s="79">
        <f>VLOOKUP(A11,'Logical formula'!A11:$L$14,MATCH('Lookup , VLookup , Index'!$E$2,'Logical formula'!$A$2:$L$2,0))</f>
        <v>2</v>
      </c>
      <c r="H11" s="80">
        <v>1005</v>
      </c>
      <c r="I11" s="62" t="str">
        <f>INDEX($A$3:$E$14,MATCH(H11,$A$3:$A$14,0),MATCH($I$6,$A$2:$E$2,0))</f>
        <v>Vivek</v>
      </c>
    </row>
    <row r="12" spans="1:9" x14ac:dyDescent="0.3">
      <c r="A12" s="57">
        <v>1010</v>
      </c>
      <c r="B12" s="49">
        <v>46239</v>
      </c>
      <c r="C12" s="48" t="s">
        <v>21</v>
      </c>
      <c r="D12" s="73" t="str">
        <f>VLOOKUP(A12,'Logical formula'!A12:D23,4,FALSE)</f>
        <v>Jaipur</v>
      </c>
      <c r="E12" s="79">
        <f>VLOOKUP(A12,'Logical formula'!A12:$L$14,MATCH('Lookup , VLookup , Index'!$E$2,'Logical formula'!$A$2:$L$2,0))</f>
        <v>3</v>
      </c>
    </row>
    <row r="13" spans="1:9" x14ac:dyDescent="0.3">
      <c r="A13" s="57">
        <v>1011</v>
      </c>
      <c r="B13" s="49">
        <v>46240</v>
      </c>
      <c r="C13" s="48" t="s">
        <v>40</v>
      </c>
      <c r="D13" s="73" t="str">
        <f>VLOOKUP(A13,'Logical formula'!A13:D24,4,FALSE)</f>
        <v>Lucknow</v>
      </c>
      <c r="E13" s="79">
        <f>VLOOKUP(A13,'Logical formula'!A13:$L$14,MATCH('Lookup , VLookup , Index'!$E$2,'Logical formula'!$A$2:$L$2,0))</f>
        <v>6</v>
      </c>
    </row>
    <row r="14" spans="1:9" ht="15" thickBot="1" x14ac:dyDescent="0.35">
      <c r="A14" s="80">
        <v>1012</v>
      </c>
      <c r="B14" s="81">
        <v>46240</v>
      </c>
      <c r="C14" s="82" t="s">
        <v>41</v>
      </c>
      <c r="D14" s="83" t="str">
        <f>VLOOKUP(A14,'Logical formula'!A14:D25,4,FALSE)</f>
        <v>Delhi</v>
      </c>
      <c r="E14" s="84">
        <f>VLOOKUP(A14,'Logical formula'!A14:$L$14,MATCH('Lookup , VLookup , Index'!$E$2,'Logical formula'!$A$2:$L$2,0))</f>
        <v>1</v>
      </c>
    </row>
    <row r="17" spans="1:3" x14ac:dyDescent="0.3">
      <c r="A17" s="38"/>
      <c r="B17" s="39"/>
      <c r="C17" s="38"/>
    </row>
    <row r="18" spans="1:3" x14ac:dyDescent="0.3">
      <c r="A18" s="38"/>
      <c r="B18" s="39"/>
      <c r="C18" s="38"/>
    </row>
    <row r="19" spans="1:3" x14ac:dyDescent="0.3">
      <c r="A19" s="38"/>
      <c r="B19" s="39"/>
      <c r="C19" s="38"/>
    </row>
    <row r="20" spans="1:3" x14ac:dyDescent="0.3">
      <c r="A20" s="38"/>
      <c r="B20" s="39"/>
      <c r="C20" s="38"/>
    </row>
    <row r="21" spans="1:3" x14ac:dyDescent="0.3">
      <c r="A21" s="38"/>
      <c r="B21" s="39"/>
      <c r="C21" s="38"/>
    </row>
    <row r="22" spans="1:3" x14ac:dyDescent="0.3">
      <c r="A22" s="38"/>
      <c r="B22" s="39"/>
      <c r="C22" s="38"/>
    </row>
    <row r="23" spans="1:3" x14ac:dyDescent="0.3">
      <c r="A23" s="38"/>
      <c r="B23" s="39"/>
      <c r="C23" s="38"/>
    </row>
    <row r="24" spans="1:3" x14ac:dyDescent="0.3">
      <c r="A24" s="38"/>
      <c r="B24" s="39"/>
      <c r="C24" s="38"/>
    </row>
    <row r="25" spans="1:3" x14ac:dyDescent="0.3">
      <c r="A25" s="38"/>
      <c r="B25" s="39"/>
      <c r="C25" s="38"/>
    </row>
    <row r="26" spans="1:3" x14ac:dyDescent="0.3">
      <c r="A26" s="38"/>
      <c r="B26" s="39"/>
      <c r="C26" s="38"/>
    </row>
    <row r="27" spans="1:3" x14ac:dyDescent="0.3">
      <c r="A27" s="38"/>
      <c r="B27" s="39"/>
      <c r="C27" s="38"/>
    </row>
  </sheetData>
  <mergeCells count="2">
    <mergeCell ref="A1:E1"/>
    <mergeCell ref="H5:I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Entry And Basic Formatting</vt:lpstr>
      <vt:lpstr>Basic Formula</vt:lpstr>
      <vt:lpstr>Conditional Formatting</vt:lpstr>
      <vt:lpstr>Sorting </vt:lpstr>
      <vt:lpstr>Filter</vt:lpstr>
      <vt:lpstr>Table Creation</vt:lpstr>
      <vt:lpstr>Logical formula</vt:lpstr>
      <vt:lpstr>Lookup , VLookup ,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Satvik Mishra</dc:creator>
  <cp:lastModifiedBy>Satvik Mishra</cp:lastModifiedBy>
  <dcterms:created xsi:type="dcterms:W3CDTF">2026-08-19T07:46:09Z</dcterms:created>
  <dcterms:modified xsi:type="dcterms:W3CDTF">2026-08-23T12:38:16Z</dcterms:modified>
</cp:coreProperties>
</file>