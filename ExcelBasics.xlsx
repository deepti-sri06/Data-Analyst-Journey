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Data-Analyst-Journey\"/>
    </mc:Choice>
  </mc:AlternateContent>
  <xr:revisionPtr revIDLastSave="0" documentId="8_{C07604B6-BBF5-4566-A770-D078469717A2}" xr6:coauthVersionLast="47" xr6:coauthVersionMax="47" xr10:uidLastSave="{00000000-0000-0000-0000-000000000000}"/>
  <bookViews>
    <workbookView xWindow="-108" yWindow="-108" windowWidth="23256" windowHeight="12456" activeTab="5" xr2:uid="{2F8C584B-6AC9-4380-92F9-818AA2477EA2}"/>
  </bookViews>
  <sheets>
    <sheet name="Data Entry" sheetId="1" r:id="rId1"/>
    <sheet name="Formatting " sheetId="2" r:id="rId2"/>
    <sheet name="Conditional Formatting" sheetId="3" r:id="rId3"/>
    <sheet name="Filter And Sorting" sheetId="4" r:id="rId4"/>
    <sheet name="Table Creation" sheetId="5" r:id="rId5"/>
    <sheet name="Basic Analysis" sheetId="6" r:id="rId6"/>
  </sheets>
  <definedNames>
    <definedName name="_xlnm._FilterDatabase" localSheetId="3" hidden="1">'Filter And Sorting'!$A$1:$J$51</definedName>
    <definedName name="Slicer_Category">#N/A</definedName>
    <definedName name="Slicer_Payment">#N/A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9" i="6" l="1"/>
  <c r="N6" i="6"/>
  <c r="K3" i="6"/>
  <c r="K4" i="6"/>
  <c r="K5" i="6"/>
  <c r="K6" i="6"/>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2" i="6"/>
  <c r="N8" i="6" s="1"/>
  <c r="N7" i="6" l="1"/>
</calcChain>
</file>

<file path=xl/sharedStrings.xml><?xml version="1.0" encoding="utf-8"?>
<sst xmlns="http://schemas.openxmlformats.org/spreadsheetml/2006/main" count="1866" uniqueCount="95">
  <si>
    <t>OrderID</t>
  </si>
  <si>
    <t>Date</t>
  </si>
  <si>
    <t>Product</t>
  </si>
  <si>
    <t>Category</t>
  </si>
  <si>
    <t>Region</t>
  </si>
  <si>
    <t>Salesperson</t>
  </si>
  <si>
    <t>Quantity</t>
  </si>
  <si>
    <t>UnitPrice</t>
  </si>
  <si>
    <t>Discount</t>
  </si>
  <si>
    <t>Payment</t>
  </si>
  <si>
    <t>ORD001</t>
  </si>
  <si>
    <t>Laptop</t>
  </si>
  <si>
    <t>Electronics</t>
  </si>
  <si>
    <t>North</t>
  </si>
  <si>
    <t>Amit</t>
  </si>
  <si>
    <t>UPI</t>
  </si>
  <si>
    <t>ORD002</t>
  </si>
  <si>
    <t>Mobile</t>
  </si>
  <si>
    <t>South</t>
  </si>
  <si>
    <t>Priya</t>
  </si>
  <si>
    <t>Card</t>
  </si>
  <si>
    <t>ORD003</t>
  </si>
  <si>
    <t>Headphones</t>
  </si>
  <si>
    <t>East</t>
  </si>
  <si>
    <t>Rahul</t>
  </si>
  <si>
    <t>ORD004</t>
  </si>
  <si>
    <t>T-Shirt</t>
  </si>
  <si>
    <t>Fashion</t>
  </si>
  <si>
    <t>West</t>
  </si>
  <si>
    <t>Neha</t>
  </si>
  <si>
    <t>Cash</t>
  </si>
  <si>
    <t>ORD005</t>
  </si>
  <si>
    <t>Jeans</t>
  </si>
  <si>
    <t>ORD006</t>
  </si>
  <si>
    <t>Rice</t>
  </si>
  <si>
    <t>Grocery</t>
  </si>
  <si>
    <t>ORD007</t>
  </si>
  <si>
    <t>Blender</t>
  </si>
  <si>
    <t>Home</t>
  </si>
  <si>
    <t>ORD008</t>
  </si>
  <si>
    <t>Shoes</t>
  </si>
  <si>
    <t>ORD009</t>
  </si>
  <si>
    <t>Keyboard</t>
  </si>
  <si>
    <t>ORD010</t>
  </si>
  <si>
    <t>Mouse</t>
  </si>
  <si>
    <t>ORD011</t>
  </si>
  <si>
    <t>ORD012</t>
  </si>
  <si>
    <t>ORD013</t>
  </si>
  <si>
    <t>Saree</t>
  </si>
  <si>
    <t>ORD014</t>
  </si>
  <si>
    <t>Oil</t>
  </si>
  <si>
    <t>ORD015</t>
  </si>
  <si>
    <t>Mixer</t>
  </si>
  <si>
    <t>ORD016</t>
  </si>
  <si>
    <t>ORD017</t>
  </si>
  <si>
    <t>Monitor</t>
  </si>
  <si>
    <t>ORD018</t>
  </si>
  <si>
    <t>ORD019</t>
  </si>
  <si>
    <t>ORD020</t>
  </si>
  <si>
    <t>ORD021</t>
  </si>
  <si>
    <t>ORD022</t>
  </si>
  <si>
    <t>ORD023</t>
  </si>
  <si>
    <t>ORD024</t>
  </si>
  <si>
    <t>ORD025</t>
  </si>
  <si>
    <t>ORD026</t>
  </si>
  <si>
    <t>ORD027</t>
  </si>
  <si>
    <t>ORD028</t>
  </si>
  <si>
    <t>ORD029</t>
  </si>
  <si>
    <t>ORD030</t>
  </si>
  <si>
    <t>ORD031</t>
  </si>
  <si>
    <t>ORD032</t>
  </si>
  <si>
    <t>ORD033</t>
  </si>
  <si>
    <t>ORD034</t>
  </si>
  <si>
    <t>ORD035</t>
  </si>
  <si>
    <t>ORD036</t>
  </si>
  <si>
    <t>ORD037</t>
  </si>
  <si>
    <t>ORD038</t>
  </si>
  <si>
    <t>ORD039</t>
  </si>
  <si>
    <t>ORD040</t>
  </si>
  <si>
    <t>ORD041</t>
  </si>
  <si>
    <t>ORD042</t>
  </si>
  <si>
    <t>ORD043</t>
  </si>
  <si>
    <t>ORD044</t>
  </si>
  <si>
    <t>ORD045</t>
  </si>
  <si>
    <t>ORD046</t>
  </si>
  <si>
    <t>ORD047</t>
  </si>
  <si>
    <t>ORD048</t>
  </si>
  <si>
    <t>ORD049</t>
  </si>
  <si>
    <t>ORD050</t>
  </si>
  <si>
    <t>Sales</t>
  </si>
  <si>
    <t>AVG</t>
  </si>
  <si>
    <t>MIN</t>
  </si>
  <si>
    <t xml:space="preserve">MAX </t>
  </si>
  <si>
    <t>Sales Analysis</t>
  </si>
  <si>
    <t xml:space="preserve">Total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</si>
</sst>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quot;₹&quot;\ * #,##0.00_ ;_ &quot;₹&quot;\ * \-#,##0.00_ ;_ &quot;₹&quot;\ * &quot;-&quot;??_ ;_ @_ "/>
  </numFmts>
  <fonts count="3" x14ac:knownFonts="1">
    <font>
      <sz val="11"/>
      <color theme="1"/>
      <name val="Calibri"/>
      <family val="2"/>
      <scheme val="minor"/>
    </font>
    <font>
      <b/>
      <sz val="11"/>
      <color theme="1"/>
      <name val="Calibri"/>
      <family val="2"/>
      <scheme val="minor"/>
    </font>
    <font>
      <b/>
      <sz val="11"/>
      <color theme="4" tint="0.79998168889431442"/>
      <name val="Calibri"/>
      <family val="2"/>
      <scheme val="minor"/>
    </font>
  </fonts>
  <fills count="8">
    <fill>
      <patternFill patternType="none"/>
    </fill>
    <fill>
      <patternFill patternType="gray125"/>
    </fill>
    <fill>
      <patternFill patternType="solid">
        <fgColor theme="4" tint="-0.499984740745262"/>
        <bgColor indexed="64"/>
      </patternFill>
    </fill>
    <fill>
      <patternFill patternType="solid">
        <fgColor theme="7" tint="0.39997558519241921"/>
        <bgColor indexed="64"/>
      </patternFill>
    </fill>
    <fill>
      <patternFill patternType="solid">
        <fgColor theme="9" tint="0.59999389629810485"/>
        <bgColor indexed="64"/>
      </patternFill>
    </fill>
    <fill>
      <patternFill patternType="solid">
        <fgColor rgb="FFFF0000"/>
        <bgColor indexed="64"/>
      </patternFill>
    </fill>
    <fill>
      <patternFill patternType="solid">
        <fgColor theme="8" tint="0.39997558519241921"/>
        <bgColor indexed="64"/>
      </patternFill>
    </fill>
    <fill>
      <patternFill patternType="solid">
        <fgColor theme="5" tint="0.39997558519241921"/>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45">
    <xf numFmtId="0" fontId="0" fillId="0" borderId="0" xfId="0"/>
    <xf numFmtId="14" fontId="0" fillId="0" borderId="0" xfId="0" applyNumberFormat="1"/>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0" fillId="0" borderId="5"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center" vertical="center" wrapText="1"/>
    </xf>
    <xf numFmtId="9" fontId="0" fillId="0" borderId="1" xfId="0" applyNumberFormat="1"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14" fontId="0" fillId="0" borderId="8" xfId="0" applyNumberFormat="1" applyBorder="1" applyAlignment="1">
      <alignment horizontal="center" vertical="center" wrapText="1"/>
    </xf>
    <xf numFmtId="0" fontId="0" fillId="0" borderId="8" xfId="0" applyBorder="1" applyAlignment="1">
      <alignment horizontal="center" vertical="center" wrapText="1"/>
    </xf>
    <xf numFmtId="9" fontId="0" fillId="0" borderId="8" xfId="0" applyNumberFormat="1" applyBorder="1" applyAlignment="1">
      <alignment horizontal="center" vertical="center" wrapText="1"/>
    </xf>
    <xf numFmtId="0" fontId="0" fillId="0" borderId="9" xfId="0" applyBorder="1" applyAlignment="1">
      <alignment horizontal="center" vertical="center" wrapText="1"/>
    </xf>
    <xf numFmtId="44" fontId="2" fillId="2" borderId="3" xfId="0" applyNumberFormat="1" applyFont="1" applyFill="1" applyBorder="1" applyAlignment="1">
      <alignment horizontal="center" vertical="center" wrapText="1"/>
    </xf>
    <xf numFmtId="44" fontId="0" fillId="0" borderId="1" xfId="0" applyNumberFormat="1" applyBorder="1" applyAlignment="1">
      <alignment horizontal="center" vertical="center" wrapText="1"/>
    </xf>
    <xf numFmtId="44" fontId="0" fillId="0" borderId="8" xfId="0" applyNumberFormat="1" applyBorder="1" applyAlignment="1">
      <alignment horizontal="center" vertical="center" wrapText="1"/>
    </xf>
    <xf numFmtId="44" fontId="0" fillId="0" borderId="0" xfId="0" applyNumberFormat="1"/>
    <xf numFmtId="14" fontId="2" fillId="2" borderId="3" xfId="0" applyNumberFormat="1" applyFont="1" applyFill="1" applyBorder="1" applyAlignment="1">
      <alignment horizontal="center" vertical="center" wrapText="1"/>
    </xf>
    <xf numFmtId="0" fontId="2" fillId="2" borderId="2" xfId="0" applyNumberFormat="1" applyFont="1" applyFill="1" applyBorder="1" applyAlignment="1">
      <alignment horizontal="center" vertical="center" wrapText="1"/>
    </xf>
    <xf numFmtId="0" fontId="0" fillId="0" borderId="5" xfId="0" applyNumberFormat="1" applyBorder="1" applyAlignment="1">
      <alignment horizontal="center" vertical="center" wrapText="1"/>
    </xf>
    <xf numFmtId="0" fontId="0" fillId="0" borderId="7" xfId="0" applyNumberFormat="1" applyBorder="1" applyAlignment="1">
      <alignment horizontal="center" vertical="center" wrapText="1"/>
    </xf>
    <xf numFmtId="0" fontId="0" fillId="0" borderId="0" xfId="0" applyNumberFormat="1"/>
    <xf numFmtId="0" fontId="0" fillId="0" borderId="10" xfId="0" applyNumberFormat="1" applyBorder="1" applyAlignment="1">
      <alignment horizontal="center" vertical="center" wrapText="1"/>
    </xf>
    <xf numFmtId="0" fontId="0" fillId="0" borderId="11" xfId="0" applyBorder="1" applyAlignment="1">
      <alignment horizontal="center" vertical="center" wrapText="1"/>
    </xf>
    <xf numFmtId="0" fontId="2" fillId="2" borderId="12" xfId="0" applyNumberFormat="1" applyFont="1" applyFill="1" applyBorder="1" applyAlignment="1">
      <alignment horizontal="center" vertical="center" wrapText="1"/>
    </xf>
    <xf numFmtId="14" fontId="2" fillId="2" borderId="13" xfId="0" applyNumberFormat="1" applyFont="1" applyFill="1" applyBorder="1" applyAlignment="1">
      <alignment horizontal="center" vertical="center" wrapText="1"/>
    </xf>
    <xf numFmtId="0" fontId="2" fillId="2" borderId="13" xfId="0" applyFont="1" applyFill="1" applyBorder="1" applyAlignment="1">
      <alignment horizontal="center" vertical="center" wrapText="1"/>
    </xf>
    <xf numFmtId="44" fontId="2" fillId="2" borderId="13" xfId="0" applyNumberFormat="1" applyFont="1" applyFill="1" applyBorder="1" applyAlignment="1">
      <alignment horizontal="center" vertical="center" wrapText="1"/>
    </xf>
    <xf numFmtId="0" fontId="2" fillId="2" borderId="14" xfId="0" applyFont="1" applyFill="1" applyBorder="1" applyAlignment="1">
      <alignment horizontal="center" vertical="center" wrapText="1"/>
    </xf>
    <xf numFmtId="0" fontId="0" fillId="0" borderId="15" xfId="0" applyNumberFormat="1" applyBorder="1" applyAlignment="1">
      <alignment horizontal="center" vertical="center" wrapText="1"/>
    </xf>
    <xf numFmtId="14" fontId="0" fillId="0" borderId="16" xfId="0" applyNumberFormat="1" applyBorder="1" applyAlignment="1">
      <alignment horizontal="center" vertical="center" wrapText="1"/>
    </xf>
    <xf numFmtId="0" fontId="0" fillId="0" borderId="16" xfId="0" applyBorder="1" applyAlignment="1">
      <alignment horizontal="center" vertical="center" wrapText="1"/>
    </xf>
    <xf numFmtId="44" fontId="0" fillId="0" borderId="16" xfId="0" applyNumberFormat="1" applyBorder="1" applyAlignment="1">
      <alignment horizontal="center" vertical="center" wrapText="1"/>
    </xf>
    <xf numFmtId="9" fontId="0" fillId="0" borderId="16" xfId="0" applyNumberFormat="1" applyBorder="1" applyAlignment="1">
      <alignment horizontal="center" vertical="center" wrapText="1"/>
    </xf>
    <xf numFmtId="0" fontId="0" fillId="0" borderId="17" xfId="0" applyBorder="1" applyAlignment="1">
      <alignment horizontal="center" vertical="center" wrapText="1"/>
    </xf>
    <xf numFmtId="44" fontId="0" fillId="0" borderId="6" xfId="0" applyNumberFormat="1" applyBorder="1"/>
    <xf numFmtId="44" fontId="0" fillId="0" borderId="9" xfId="0" applyNumberFormat="1" applyBorder="1"/>
    <xf numFmtId="0" fontId="1" fillId="3" borderId="2" xfId="0" applyFont="1" applyFill="1" applyBorder="1" applyAlignment="1">
      <alignment horizontal="center"/>
    </xf>
    <xf numFmtId="0" fontId="1" fillId="3" borderId="4" xfId="0" applyFont="1" applyFill="1" applyBorder="1" applyAlignment="1">
      <alignment horizontal="center"/>
    </xf>
    <xf numFmtId="0" fontId="1" fillId="4" borderId="5" xfId="0" applyFont="1" applyFill="1" applyBorder="1"/>
    <xf numFmtId="0" fontId="1" fillId="5" borderId="5" xfId="0" applyFont="1" applyFill="1" applyBorder="1"/>
    <xf numFmtId="0" fontId="1" fillId="6" borderId="5" xfId="0" applyFont="1" applyFill="1" applyBorder="1"/>
    <xf numFmtId="0" fontId="1" fillId="7" borderId="7" xfId="0" applyFont="1" applyFill="1" applyBorder="1"/>
  </cellXfs>
  <cellStyles count="1">
    <cellStyle name="Normal" xfId="0" builtinId="0"/>
  </cellStyles>
  <dxfs count="18">
    <dxf>
      <fill>
        <patternFill>
          <bgColor theme="5" tint="0.59996337778862885"/>
        </patternFill>
      </fill>
    </dxf>
    <dxf>
      <fill>
        <patternFill>
          <bgColor theme="8" tint="0.39994506668294322"/>
        </patternFill>
      </fill>
    </dxf>
    <dxf>
      <fill>
        <patternFill>
          <bgColor theme="9" tint="0.39994506668294322"/>
        </patternFill>
      </fill>
    </dxf>
    <dxf>
      <fill>
        <patternFill>
          <bgColor theme="7" tint="0.39994506668294322"/>
        </patternFill>
      </fill>
    </dxf>
    <dxf>
      <font>
        <b/>
        <i val="0"/>
        <strike val="0"/>
        <condense val="0"/>
        <extend val="0"/>
        <outline val="0"/>
        <shadow val="0"/>
        <u val="none"/>
        <vertAlign val="baseline"/>
        <sz val="11"/>
        <color theme="4" tint="0.79998168889431442"/>
        <name val="Calibri"/>
        <family val="2"/>
        <scheme val="minor"/>
      </font>
      <fill>
        <patternFill patternType="solid">
          <fgColor indexed="64"/>
          <bgColor theme="4" tint="-0.499984740745262"/>
        </patternFill>
      </fill>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numFmt numFmtId="13" formatCode="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4" formatCode="_ &quot;₹&quot;\ * #,##0.00_ ;_ &quot;₹&quot;\ * \-#,##0.00_ ;_ &quot;₹&quot;\ * &quot;-&quot;??_ ;_ @_ "/>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medium">
          <color indexed="64"/>
        </left>
        <right style="medium">
          <color indexed="64"/>
        </right>
        <top style="medium">
          <color indexed="64"/>
        </top>
        <bottom style="medium">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absolute">
    <xdr:from>
      <xdr:col>10</xdr:col>
      <xdr:colOff>571500</xdr:colOff>
      <xdr:row>0</xdr:row>
      <xdr:rowOff>76201</xdr:rowOff>
    </xdr:from>
    <xdr:to>
      <xdr:col>13</xdr:col>
      <xdr:colOff>571500</xdr:colOff>
      <xdr:row>10</xdr:row>
      <xdr:rowOff>45720</xdr:rowOff>
    </xdr:to>
    <mc:AlternateContent xmlns:mc="http://schemas.openxmlformats.org/markup-compatibility/2006">
      <mc:Choice xmlns:sle15="http://schemas.microsoft.com/office/drawing/2012/slicer" Requires="sle15">
        <xdr:graphicFrame macro="">
          <xdr:nvGraphicFramePr>
            <xdr:cNvPr id="2" name="Category">
              <a:extLst>
                <a:ext uri="{FF2B5EF4-FFF2-40B4-BE49-F238E27FC236}">
                  <a16:creationId xmlns:a16="http://schemas.microsoft.com/office/drawing/2014/main" id="{364EA22C-23B7-A753-4628-4DBFA53FDBA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787640" y="76201"/>
              <a:ext cx="1828800" cy="143255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14</xdr:col>
      <xdr:colOff>274320</xdr:colOff>
      <xdr:row>0</xdr:row>
      <xdr:rowOff>91441</xdr:rowOff>
    </xdr:from>
    <xdr:to>
      <xdr:col>17</xdr:col>
      <xdr:colOff>53340</xdr:colOff>
      <xdr:row>10</xdr:row>
      <xdr:rowOff>60961</xdr:rowOff>
    </xdr:to>
    <mc:AlternateContent xmlns:mc="http://schemas.openxmlformats.org/markup-compatibility/2006">
      <mc:Choice xmlns:sle15="http://schemas.microsoft.com/office/drawing/2012/slicer" Requires="sle15">
        <xdr:graphicFrame macro="">
          <xdr:nvGraphicFramePr>
            <xdr:cNvPr id="3" name="Payment">
              <a:extLst>
                <a:ext uri="{FF2B5EF4-FFF2-40B4-BE49-F238E27FC236}">
                  <a16:creationId xmlns:a16="http://schemas.microsoft.com/office/drawing/2014/main" id="{22799314-6352-1C08-4565-F7EC15896C5B}"/>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dr:sp macro="" textlink="">
          <xdr:nvSpPr>
            <xdr:cNvPr id="0" name=""/>
            <xdr:cNvSpPr>
              <a:spLocks noTextEdit="1"/>
            </xdr:cNvSpPr>
          </xdr:nvSpPr>
          <xdr:spPr>
            <a:xfrm>
              <a:off x="9928860" y="91441"/>
              <a:ext cx="1607820" cy="14325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1859003-2220-41A7-843A-3E9E8BB71DD2}" sourceName="Category">
  <extLst>
    <x:ext xmlns:x15="http://schemas.microsoft.com/office/spreadsheetml/2010/11/main" uri="{2F2917AC-EB37-4324-AD4E-5DD8C200BD13}">
      <x15:tableSlicerCache tableId="1" column="4"/>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9F1B7BBA-81AF-417F-A3D3-E2B40E03CF9F}" sourceName="Payment">
  <extLst>
    <x:ext xmlns:x15="http://schemas.microsoft.com/office/spreadsheetml/2010/11/main" uri="{2F2917AC-EB37-4324-AD4E-5DD8C200BD13}">
      <x15:tableSlicerCache tableId="1" column="10"/>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6F01CEC1-B644-44AD-A442-FEAC1085EACE}" cache="Slicer_Category" caption="Category" rowHeight="234950"/>
  <slicer name="Payment" xr10:uid="{7C878736-C458-413A-8F2C-ED60BE11E6CD}" cache="Slicer_Payment" caption="Payme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716FB6-7C2C-4296-AB9F-479C52614ECA}" name="Table1" displayName="Table1" ref="A1:J51" totalsRowShown="0" headerRowDxfId="4" headerRowBorderDxfId="16" tableBorderDxfId="17" totalsRowBorderDxfId="15">
  <autoFilter ref="A1:J51" xr:uid="{9B716FB6-7C2C-4296-AB9F-479C52614ECA}">
    <filterColumn colId="3">
      <filters>
        <filter val="Electronics"/>
        <filter val="Fashion"/>
      </filters>
    </filterColumn>
  </autoFilter>
  <tableColumns count="10">
    <tableColumn id="1" xr3:uid="{58301514-EA65-4FB6-879F-7DE085372B47}" name="OrderID" dataDxfId="14"/>
    <tableColumn id="2" xr3:uid="{2999A9A3-4344-4EC5-A555-D43DC6DCD49F}" name="Date" dataDxfId="13"/>
    <tableColumn id="3" xr3:uid="{BAD468AB-516C-44CE-800C-A6EC8D08B131}" name="Product" dataDxfId="12"/>
    <tableColumn id="4" xr3:uid="{ED457B7D-E9B8-4027-85B8-F74E54B36981}" name="Category" dataDxfId="11"/>
    <tableColumn id="5" xr3:uid="{A67AF9D5-471B-4D93-87BB-EC0CAA85E979}" name="Region" dataDxfId="10"/>
    <tableColumn id="6" xr3:uid="{2260CDF1-6CAC-40F7-84D0-3C7DA065A3C9}" name="Salesperson" dataDxfId="9"/>
    <tableColumn id="7" xr3:uid="{860B1203-1D95-4416-872C-FA80916D16C1}" name="Quantity" dataDxfId="8"/>
    <tableColumn id="8" xr3:uid="{D7442C9B-C4BF-4819-9324-99A2218D97B7}" name="UnitPrice" dataDxfId="7"/>
    <tableColumn id="9" xr3:uid="{D8949FD8-28CA-42E7-AF0C-1AC49D71E7C1}" name="Discount" dataDxfId="6"/>
    <tableColumn id="10" xr3:uid="{61F6057A-B7BF-447C-A87A-EDDFC3403A1D}" name="Payment" dataDxfId="5"/>
  </tableColumns>
  <tableStyleInfo name="TableStyleMedium6" showFirstColumn="0" showLastColumn="0" showRowStripes="0"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E6074-49DD-4031-91C4-D949E1D4FECC}">
  <dimension ref="A1:J51"/>
  <sheetViews>
    <sheetView workbookViewId="0">
      <selection activeCell="D19" sqref="D19"/>
    </sheetView>
  </sheetViews>
  <sheetFormatPr defaultRowHeight="14.4" x14ac:dyDescent="0.3"/>
  <cols>
    <col min="1" max="1" width="7.6640625" bestFit="1" customWidth="1"/>
    <col min="2" max="2" width="10.33203125" bestFit="1" customWidth="1"/>
    <col min="3" max="3" width="11.109375" bestFit="1" customWidth="1"/>
    <col min="4" max="4" width="9.88671875" bestFit="1" customWidth="1"/>
    <col min="5" max="5" width="6.77734375" bestFit="1" customWidth="1"/>
    <col min="6" max="6" width="11" bestFit="1" customWidth="1"/>
    <col min="7" max="7" width="8.33203125" bestFit="1" customWidth="1"/>
    <col min="8" max="8" width="8.6640625" bestFit="1" customWidth="1"/>
    <col min="9" max="9" width="8.33203125" bestFit="1" customWidth="1"/>
    <col min="10" max="10" width="8.5546875" bestFit="1" customWidth="1"/>
  </cols>
  <sheetData>
    <row r="1" spans="1:10" x14ac:dyDescent="0.3">
      <c r="A1" s="2" t="s">
        <v>0</v>
      </c>
      <c r="B1" s="3" t="s">
        <v>1</v>
      </c>
      <c r="C1" s="3" t="s">
        <v>2</v>
      </c>
      <c r="D1" s="3" t="s">
        <v>3</v>
      </c>
      <c r="E1" s="3" t="s">
        <v>4</v>
      </c>
      <c r="F1" s="3" t="s">
        <v>5</v>
      </c>
      <c r="G1" s="3" t="s">
        <v>6</v>
      </c>
      <c r="H1" s="3" t="s">
        <v>7</v>
      </c>
      <c r="I1" s="3" t="s">
        <v>8</v>
      </c>
      <c r="J1" s="4" t="s">
        <v>9</v>
      </c>
    </row>
    <row r="2" spans="1:10" x14ac:dyDescent="0.3">
      <c r="A2" s="5" t="s">
        <v>10</v>
      </c>
      <c r="B2" s="6">
        <v>46235</v>
      </c>
      <c r="C2" s="7" t="s">
        <v>11</v>
      </c>
      <c r="D2" s="7" t="s">
        <v>12</v>
      </c>
      <c r="E2" s="7" t="s">
        <v>13</v>
      </c>
      <c r="F2" s="7" t="s">
        <v>14</v>
      </c>
      <c r="G2" s="7">
        <v>2</v>
      </c>
      <c r="H2" s="7">
        <v>55000</v>
      </c>
      <c r="I2" s="8">
        <v>0.05</v>
      </c>
      <c r="J2" s="9" t="s">
        <v>15</v>
      </c>
    </row>
    <row r="3" spans="1:10" x14ac:dyDescent="0.3">
      <c r="A3" s="5" t="s">
        <v>16</v>
      </c>
      <c r="B3" s="6">
        <v>46235</v>
      </c>
      <c r="C3" s="7" t="s">
        <v>17</v>
      </c>
      <c r="D3" s="7" t="s">
        <v>12</v>
      </c>
      <c r="E3" s="7" t="s">
        <v>18</v>
      </c>
      <c r="F3" s="7" t="s">
        <v>19</v>
      </c>
      <c r="G3" s="7">
        <v>3</v>
      </c>
      <c r="H3" s="7">
        <v>22000</v>
      </c>
      <c r="I3" s="8">
        <v>0.1</v>
      </c>
      <c r="J3" s="9" t="s">
        <v>20</v>
      </c>
    </row>
    <row r="4" spans="1:10" x14ac:dyDescent="0.3">
      <c r="A4" s="5" t="s">
        <v>21</v>
      </c>
      <c r="B4" s="6">
        <v>46236</v>
      </c>
      <c r="C4" s="7" t="s">
        <v>22</v>
      </c>
      <c r="D4" s="7" t="s">
        <v>12</v>
      </c>
      <c r="E4" s="7" t="s">
        <v>23</v>
      </c>
      <c r="F4" s="7" t="s">
        <v>24</v>
      </c>
      <c r="G4" s="7">
        <v>5</v>
      </c>
      <c r="H4" s="7">
        <v>2500</v>
      </c>
      <c r="I4" s="8">
        <v>0.05</v>
      </c>
      <c r="J4" s="9" t="s">
        <v>15</v>
      </c>
    </row>
    <row r="5" spans="1:10" x14ac:dyDescent="0.3">
      <c r="A5" s="5" t="s">
        <v>25</v>
      </c>
      <c r="B5" s="6">
        <v>46236</v>
      </c>
      <c r="C5" s="7" t="s">
        <v>26</v>
      </c>
      <c r="D5" s="7" t="s">
        <v>27</v>
      </c>
      <c r="E5" s="7" t="s">
        <v>28</v>
      </c>
      <c r="F5" s="7" t="s">
        <v>29</v>
      </c>
      <c r="G5" s="7">
        <v>6</v>
      </c>
      <c r="H5" s="7">
        <v>900</v>
      </c>
      <c r="I5" s="8">
        <v>0.15</v>
      </c>
      <c r="J5" s="9" t="s">
        <v>30</v>
      </c>
    </row>
    <row r="6" spans="1:10" x14ac:dyDescent="0.3">
      <c r="A6" s="5" t="s">
        <v>31</v>
      </c>
      <c r="B6" s="6">
        <v>46237</v>
      </c>
      <c r="C6" s="7" t="s">
        <v>32</v>
      </c>
      <c r="D6" s="7" t="s">
        <v>27</v>
      </c>
      <c r="E6" s="7" t="s">
        <v>13</v>
      </c>
      <c r="F6" s="7" t="s">
        <v>14</v>
      </c>
      <c r="G6" s="7">
        <v>4</v>
      </c>
      <c r="H6" s="7">
        <v>1800</v>
      </c>
      <c r="I6" s="8">
        <v>0.1</v>
      </c>
      <c r="J6" s="9" t="s">
        <v>20</v>
      </c>
    </row>
    <row r="7" spans="1:10" x14ac:dyDescent="0.3">
      <c r="A7" s="5" t="s">
        <v>33</v>
      </c>
      <c r="B7" s="6">
        <v>46237</v>
      </c>
      <c r="C7" s="7" t="s">
        <v>34</v>
      </c>
      <c r="D7" s="7" t="s">
        <v>35</v>
      </c>
      <c r="E7" s="7" t="s">
        <v>18</v>
      </c>
      <c r="F7" s="7" t="s">
        <v>19</v>
      </c>
      <c r="G7" s="7">
        <v>10</v>
      </c>
      <c r="H7" s="7">
        <v>750</v>
      </c>
      <c r="I7" s="8">
        <v>0.05</v>
      </c>
      <c r="J7" s="9" t="s">
        <v>15</v>
      </c>
    </row>
    <row r="8" spans="1:10" x14ac:dyDescent="0.3">
      <c r="A8" s="5" t="s">
        <v>36</v>
      </c>
      <c r="B8" s="6">
        <v>46238</v>
      </c>
      <c r="C8" s="7" t="s">
        <v>37</v>
      </c>
      <c r="D8" s="7" t="s">
        <v>38</v>
      </c>
      <c r="E8" s="7" t="s">
        <v>23</v>
      </c>
      <c r="F8" s="7" t="s">
        <v>24</v>
      </c>
      <c r="G8" s="7">
        <v>2</v>
      </c>
      <c r="H8" s="7">
        <v>3200</v>
      </c>
      <c r="I8" s="8">
        <v>0.08</v>
      </c>
      <c r="J8" s="9" t="s">
        <v>20</v>
      </c>
    </row>
    <row r="9" spans="1:10" x14ac:dyDescent="0.3">
      <c r="A9" s="5" t="s">
        <v>39</v>
      </c>
      <c r="B9" s="6">
        <v>46238</v>
      </c>
      <c r="C9" s="7" t="s">
        <v>40</v>
      </c>
      <c r="D9" s="7" t="s">
        <v>27</v>
      </c>
      <c r="E9" s="7" t="s">
        <v>28</v>
      </c>
      <c r="F9" s="7" t="s">
        <v>29</v>
      </c>
      <c r="G9" s="7">
        <v>3</v>
      </c>
      <c r="H9" s="7">
        <v>2500</v>
      </c>
      <c r="I9" s="8">
        <v>0.12</v>
      </c>
      <c r="J9" s="9" t="s">
        <v>15</v>
      </c>
    </row>
    <row r="10" spans="1:10" x14ac:dyDescent="0.3">
      <c r="A10" s="5" t="s">
        <v>41</v>
      </c>
      <c r="B10" s="6">
        <v>46239</v>
      </c>
      <c r="C10" s="7" t="s">
        <v>42</v>
      </c>
      <c r="D10" s="7" t="s">
        <v>12</v>
      </c>
      <c r="E10" s="7" t="s">
        <v>13</v>
      </c>
      <c r="F10" s="7" t="s">
        <v>14</v>
      </c>
      <c r="G10" s="7">
        <v>5</v>
      </c>
      <c r="H10" s="7">
        <v>1500</v>
      </c>
      <c r="I10" s="8">
        <v>0.05</v>
      </c>
      <c r="J10" s="9" t="s">
        <v>30</v>
      </c>
    </row>
    <row r="11" spans="1:10" x14ac:dyDescent="0.3">
      <c r="A11" s="5" t="s">
        <v>43</v>
      </c>
      <c r="B11" s="6">
        <v>46239</v>
      </c>
      <c r="C11" s="7" t="s">
        <v>44</v>
      </c>
      <c r="D11" s="7" t="s">
        <v>12</v>
      </c>
      <c r="E11" s="7" t="s">
        <v>18</v>
      </c>
      <c r="F11" s="7" t="s">
        <v>19</v>
      </c>
      <c r="G11" s="7">
        <v>8</v>
      </c>
      <c r="H11" s="7">
        <v>700</v>
      </c>
      <c r="I11" s="8">
        <v>0.1</v>
      </c>
      <c r="J11" s="9" t="s">
        <v>15</v>
      </c>
    </row>
    <row r="12" spans="1:10" x14ac:dyDescent="0.3">
      <c r="A12" s="5" t="s">
        <v>45</v>
      </c>
      <c r="B12" s="6">
        <v>46240</v>
      </c>
      <c r="C12" s="7" t="s">
        <v>11</v>
      </c>
      <c r="D12" s="7" t="s">
        <v>12</v>
      </c>
      <c r="E12" s="7" t="s">
        <v>23</v>
      </c>
      <c r="F12" s="7" t="s">
        <v>24</v>
      </c>
      <c r="G12" s="7">
        <v>1</v>
      </c>
      <c r="H12" s="7">
        <v>62000</v>
      </c>
      <c r="I12" s="8">
        <v>7.0000000000000007E-2</v>
      </c>
      <c r="J12" s="9" t="s">
        <v>20</v>
      </c>
    </row>
    <row r="13" spans="1:10" x14ac:dyDescent="0.3">
      <c r="A13" s="5" t="s">
        <v>46</v>
      </c>
      <c r="B13" s="6">
        <v>46240</v>
      </c>
      <c r="C13" s="7" t="s">
        <v>17</v>
      </c>
      <c r="D13" s="7" t="s">
        <v>12</v>
      </c>
      <c r="E13" s="7" t="s">
        <v>28</v>
      </c>
      <c r="F13" s="7" t="s">
        <v>29</v>
      </c>
      <c r="G13" s="7">
        <v>4</v>
      </c>
      <c r="H13" s="7">
        <v>18000</v>
      </c>
      <c r="I13" s="8">
        <v>0.05</v>
      </c>
      <c r="J13" s="9" t="s">
        <v>15</v>
      </c>
    </row>
    <row r="14" spans="1:10" x14ac:dyDescent="0.3">
      <c r="A14" s="5" t="s">
        <v>47</v>
      </c>
      <c r="B14" s="6">
        <v>46241</v>
      </c>
      <c r="C14" s="7" t="s">
        <v>48</v>
      </c>
      <c r="D14" s="7" t="s">
        <v>27</v>
      </c>
      <c r="E14" s="7" t="s">
        <v>13</v>
      </c>
      <c r="F14" s="7" t="s">
        <v>14</v>
      </c>
      <c r="G14" s="7">
        <v>2</v>
      </c>
      <c r="H14" s="7">
        <v>3500</v>
      </c>
      <c r="I14" s="8">
        <v>0.1</v>
      </c>
      <c r="J14" s="9" t="s">
        <v>30</v>
      </c>
    </row>
    <row r="15" spans="1:10" x14ac:dyDescent="0.3">
      <c r="A15" s="5" t="s">
        <v>49</v>
      </c>
      <c r="B15" s="6">
        <v>46241</v>
      </c>
      <c r="C15" s="7" t="s">
        <v>50</v>
      </c>
      <c r="D15" s="7" t="s">
        <v>35</v>
      </c>
      <c r="E15" s="7" t="s">
        <v>18</v>
      </c>
      <c r="F15" s="7" t="s">
        <v>19</v>
      </c>
      <c r="G15" s="7">
        <v>12</v>
      </c>
      <c r="H15" s="7">
        <v>160</v>
      </c>
      <c r="I15" s="8">
        <v>0.05</v>
      </c>
      <c r="J15" s="9" t="s">
        <v>15</v>
      </c>
    </row>
    <row r="16" spans="1:10" x14ac:dyDescent="0.3">
      <c r="A16" s="5" t="s">
        <v>51</v>
      </c>
      <c r="B16" s="6">
        <v>46242</v>
      </c>
      <c r="C16" s="7" t="s">
        <v>52</v>
      </c>
      <c r="D16" s="7" t="s">
        <v>38</v>
      </c>
      <c r="E16" s="7" t="s">
        <v>23</v>
      </c>
      <c r="F16" s="7" t="s">
        <v>24</v>
      </c>
      <c r="G16" s="7">
        <v>3</v>
      </c>
      <c r="H16" s="7">
        <v>2800</v>
      </c>
      <c r="I16" s="8">
        <v>0.08</v>
      </c>
      <c r="J16" s="9" t="s">
        <v>20</v>
      </c>
    </row>
    <row r="17" spans="1:10" x14ac:dyDescent="0.3">
      <c r="A17" s="5" t="s">
        <v>53</v>
      </c>
      <c r="B17" s="6">
        <v>46242</v>
      </c>
      <c r="C17" s="7" t="s">
        <v>40</v>
      </c>
      <c r="D17" s="7" t="s">
        <v>27</v>
      </c>
      <c r="E17" s="7" t="s">
        <v>28</v>
      </c>
      <c r="F17" s="7" t="s">
        <v>29</v>
      </c>
      <c r="G17" s="7">
        <v>5</v>
      </c>
      <c r="H17" s="7">
        <v>2200</v>
      </c>
      <c r="I17" s="8">
        <v>0.15</v>
      </c>
      <c r="J17" s="9" t="s">
        <v>15</v>
      </c>
    </row>
    <row r="18" spans="1:10" x14ac:dyDescent="0.3">
      <c r="A18" s="5" t="s">
        <v>54</v>
      </c>
      <c r="B18" s="6">
        <v>46243</v>
      </c>
      <c r="C18" s="7" t="s">
        <v>55</v>
      </c>
      <c r="D18" s="7" t="s">
        <v>12</v>
      </c>
      <c r="E18" s="7" t="s">
        <v>13</v>
      </c>
      <c r="F18" s="7" t="s">
        <v>14</v>
      </c>
      <c r="G18" s="7">
        <v>2</v>
      </c>
      <c r="H18" s="7">
        <v>12500</v>
      </c>
      <c r="I18" s="8">
        <v>0.1</v>
      </c>
      <c r="J18" s="9" t="s">
        <v>20</v>
      </c>
    </row>
    <row r="19" spans="1:10" x14ac:dyDescent="0.3">
      <c r="A19" s="5" t="s">
        <v>56</v>
      </c>
      <c r="B19" s="6">
        <v>46243</v>
      </c>
      <c r="C19" s="7" t="s">
        <v>42</v>
      </c>
      <c r="D19" s="7" t="s">
        <v>12</v>
      </c>
      <c r="E19" s="7" t="s">
        <v>18</v>
      </c>
      <c r="F19" s="7" t="s">
        <v>19</v>
      </c>
      <c r="G19" s="7">
        <v>7</v>
      </c>
      <c r="H19" s="7">
        <v>1700</v>
      </c>
      <c r="I19" s="8">
        <v>0.05</v>
      </c>
      <c r="J19" s="9" t="s">
        <v>30</v>
      </c>
    </row>
    <row r="20" spans="1:10" x14ac:dyDescent="0.3">
      <c r="A20" s="5" t="s">
        <v>57</v>
      </c>
      <c r="B20" s="6">
        <v>46244</v>
      </c>
      <c r="C20" s="7" t="s">
        <v>26</v>
      </c>
      <c r="D20" s="7" t="s">
        <v>27</v>
      </c>
      <c r="E20" s="7" t="s">
        <v>23</v>
      </c>
      <c r="F20" s="7" t="s">
        <v>24</v>
      </c>
      <c r="G20" s="7">
        <v>8</v>
      </c>
      <c r="H20" s="7">
        <v>850</v>
      </c>
      <c r="I20" s="8">
        <v>0.1</v>
      </c>
      <c r="J20" s="9" t="s">
        <v>15</v>
      </c>
    </row>
    <row r="21" spans="1:10" x14ac:dyDescent="0.3">
      <c r="A21" s="5" t="s">
        <v>58</v>
      </c>
      <c r="B21" s="6">
        <v>46244</v>
      </c>
      <c r="C21" s="7" t="s">
        <v>34</v>
      </c>
      <c r="D21" s="7" t="s">
        <v>35</v>
      </c>
      <c r="E21" s="7" t="s">
        <v>28</v>
      </c>
      <c r="F21" s="7" t="s">
        <v>29</v>
      </c>
      <c r="G21" s="7">
        <v>15</v>
      </c>
      <c r="H21" s="7">
        <v>720</v>
      </c>
      <c r="I21" s="8">
        <v>0.05</v>
      </c>
      <c r="J21" s="9" t="s">
        <v>20</v>
      </c>
    </row>
    <row r="22" spans="1:10" x14ac:dyDescent="0.3">
      <c r="A22" s="5" t="s">
        <v>59</v>
      </c>
      <c r="B22" s="6">
        <v>46245</v>
      </c>
      <c r="C22" s="7" t="s">
        <v>17</v>
      </c>
      <c r="D22" s="7" t="s">
        <v>12</v>
      </c>
      <c r="E22" s="7" t="s">
        <v>13</v>
      </c>
      <c r="F22" s="7" t="s">
        <v>14</v>
      </c>
      <c r="G22" s="7">
        <v>2</v>
      </c>
      <c r="H22" s="7">
        <v>24000</v>
      </c>
      <c r="I22" s="8">
        <v>0.08</v>
      </c>
      <c r="J22" s="9" t="s">
        <v>15</v>
      </c>
    </row>
    <row r="23" spans="1:10" x14ac:dyDescent="0.3">
      <c r="A23" s="5" t="s">
        <v>60</v>
      </c>
      <c r="B23" s="6">
        <v>46245</v>
      </c>
      <c r="C23" s="7" t="s">
        <v>11</v>
      </c>
      <c r="D23" s="7" t="s">
        <v>12</v>
      </c>
      <c r="E23" s="7" t="s">
        <v>18</v>
      </c>
      <c r="F23" s="7" t="s">
        <v>19</v>
      </c>
      <c r="G23" s="7">
        <v>1</v>
      </c>
      <c r="H23" s="7">
        <v>58000</v>
      </c>
      <c r="I23" s="8">
        <v>0.05</v>
      </c>
      <c r="J23" s="9" t="s">
        <v>20</v>
      </c>
    </row>
    <row r="24" spans="1:10" x14ac:dyDescent="0.3">
      <c r="A24" s="5" t="s">
        <v>61</v>
      </c>
      <c r="B24" s="6">
        <v>46246</v>
      </c>
      <c r="C24" s="7" t="s">
        <v>32</v>
      </c>
      <c r="D24" s="7" t="s">
        <v>27</v>
      </c>
      <c r="E24" s="7" t="s">
        <v>23</v>
      </c>
      <c r="F24" s="7" t="s">
        <v>24</v>
      </c>
      <c r="G24" s="7">
        <v>6</v>
      </c>
      <c r="H24" s="7">
        <v>1600</v>
      </c>
      <c r="I24" s="8">
        <v>0.12</v>
      </c>
      <c r="J24" s="9" t="s">
        <v>30</v>
      </c>
    </row>
    <row r="25" spans="1:10" x14ac:dyDescent="0.3">
      <c r="A25" s="5" t="s">
        <v>62</v>
      </c>
      <c r="B25" s="6">
        <v>46246</v>
      </c>
      <c r="C25" s="7" t="s">
        <v>37</v>
      </c>
      <c r="D25" s="7" t="s">
        <v>38</v>
      </c>
      <c r="E25" s="7" t="s">
        <v>28</v>
      </c>
      <c r="F25" s="7" t="s">
        <v>29</v>
      </c>
      <c r="G25" s="7">
        <v>2</v>
      </c>
      <c r="H25" s="7">
        <v>3500</v>
      </c>
      <c r="I25" s="8">
        <v>0.1</v>
      </c>
      <c r="J25" s="9" t="s">
        <v>15</v>
      </c>
    </row>
    <row r="26" spans="1:10" x14ac:dyDescent="0.3">
      <c r="A26" s="5" t="s">
        <v>63</v>
      </c>
      <c r="B26" s="6">
        <v>46247</v>
      </c>
      <c r="C26" s="7" t="s">
        <v>22</v>
      </c>
      <c r="D26" s="7" t="s">
        <v>12</v>
      </c>
      <c r="E26" s="7" t="s">
        <v>13</v>
      </c>
      <c r="F26" s="7" t="s">
        <v>14</v>
      </c>
      <c r="G26" s="7">
        <v>10</v>
      </c>
      <c r="H26" s="7">
        <v>2200</v>
      </c>
      <c r="I26" s="8">
        <v>0.05</v>
      </c>
      <c r="J26" s="9" t="s">
        <v>20</v>
      </c>
    </row>
    <row r="27" spans="1:10" x14ac:dyDescent="0.3">
      <c r="A27" s="5" t="s">
        <v>64</v>
      </c>
      <c r="B27" s="6">
        <v>46247</v>
      </c>
      <c r="C27" s="7" t="s">
        <v>40</v>
      </c>
      <c r="D27" s="7" t="s">
        <v>27</v>
      </c>
      <c r="E27" s="7" t="s">
        <v>18</v>
      </c>
      <c r="F27" s="7" t="s">
        <v>19</v>
      </c>
      <c r="G27" s="7">
        <v>4</v>
      </c>
      <c r="H27" s="7">
        <v>2800</v>
      </c>
      <c r="I27" s="8">
        <v>0.15</v>
      </c>
      <c r="J27" s="9" t="s">
        <v>15</v>
      </c>
    </row>
    <row r="28" spans="1:10" x14ac:dyDescent="0.3">
      <c r="A28" s="5" t="s">
        <v>65</v>
      </c>
      <c r="B28" s="6">
        <v>46248</v>
      </c>
      <c r="C28" s="7" t="s">
        <v>44</v>
      </c>
      <c r="D28" s="7" t="s">
        <v>12</v>
      </c>
      <c r="E28" s="7" t="s">
        <v>23</v>
      </c>
      <c r="F28" s="7" t="s">
        <v>24</v>
      </c>
      <c r="G28" s="7">
        <v>12</v>
      </c>
      <c r="H28" s="7">
        <v>650</v>
      </c>
      <c r="I28" s="8">
        <v>0.05</v>
      </c>
      <c r="J28" s="9" t="s">
        <v>30</v>
      </c>
    </row>
    <row r="29" spans="1:10" x14ac:dyDescent="0.3">
      <c r="A29" s="5" t="s">
        <v>66</v>
      </c>
      <c r="B29" s="6">
        <v>46248</v>
      </c>
      <c r="C29" s="7" t="s">
        <v>48</v>
      </c>
      <c r="D29" s="7" t="s">
        <v>27</v>
      </c>
      <c r="E29" s="7" t="s">
        <v>28</v>
      </c>
      <c r="F29" s="7" t="s">
        <v>29</v>
      </c>
      <c r="G29" s="7">
        <v>3</v>
      </c>
      <c r="H29" s="7">
        <v>4200</v>
      </c>
      <c r="I29" s="8">
        <v>0.1</v>
      </c>
      <c r="J29" s="9" t="s">
        <v>20</v>
      </c>
    </row>
    <row r="30" spans="1:10" x14ac:dyDescent="0.3">
      <c r="A30" s="5" t="s">
        <v>67</v>
      </c>
      <c r="B30" s="6">
        <v>46249</v>
      </c>
      <c r="C30" s="7" t="s">
        <v>34</v>
      </c>
      <c r="D30" s="7" t="s">
        <v>35</v>
      </c>
      <c r="E30" s="7" t="s">
        <v>13</v>
      </c>
      <c r="F30" s="7" t="s">
        <v>14</v>
      </c>
      <c r="G30" s="7">
        <v>20</v>
      </c>
      <c r="H30" s="7">
        <v>700</v>
      </c>
      <c r="I30" s="8">
        <v>0.05</v>
      </c>
      <c r="J30" s="9" t="s">
        <v>15</v>
      </c>
    </row>
    <row r="31" spans="1:10" x14ac:dyDescent="0.3">
      <c r="A31" s="5" t="s">
        <v>68</v>
      </c>
      <c r="B31" s="6">
        <v>46249</v>
      </c>
      <c r="C31" s="7" t="s">
        <v>52</v>
      </c>
      <c r="D31" s="7" t="s">
        <v>38</v>
      </c>
      <c r="E31" s="7" t="s">
        <v>18</v>
      </c>
      <c r="F31" s="7" t="s">
        <v>19</v>
      </c>
      <c r="G31" s="7">
        <v>4</v>
      </c>
      <c r="H31" s="7">
        <v>3000</v>
      </c>
      <c r="I31" s="8">
        <v>0.08</v>
      </c>
      <c r="J31" s="9" t="s">
        <v>20</v>
      </c>
    </row>
    <row r="32" spans="1:10" x14ac:dyDescent="0.3">
      <c r="A32" s="5" t="s">
        <v>69</v>
      </c>
      <c r="B32" s="6">
        <v>46250</v>
      </c>
      <c r="C32" s="7" t="s">
        <v>55</v>
      </c>
      <c r="D32" s="7" t="s">
        <v>12</v>
      </c>
      <c r="E32" s="7" t="s">
        <v>23</v>
      </c>
      <c r="F32" s="7" t="s">
        <v>24</v>
      </c>
      <c r="G32" s="7">
        <v>3</v>
      </c>
      <c r="H32" s="7">
        <v>11500</v>
      </c>
      <c r="I32" s="8">
        <v>0.1</v>
      </c>
      <c r="J32" s="9" t="s">
        <v>15</v>
      </c>
    </row>
    <row r="33" spans="1:10" x14ac:dyDescent="0.3">
      <c r="A33" s="5" t="s">
        <v>70</v>
      </c>
      <c r="B33" s="6">
        <v>46250</v>
      </c>
      <c r="C33" s="7" t="s">
        <v>26</v>
      </c>
      <c r="D33" s="7" t="s">
        <v>27</v>
      </c>
      <c r="E33" s="7" t="s">
        <v>28</v>
      </c>
      <c r="F33" s="7" t="s">
        <v>29</v>
      </c>
      <c r="G33" s="7">
        <v>10</v>
      </c>
      <c r="H33" s="7">
        <v>950</v>
      </c>
      <c r="I33" s="8">
        <v>0.15</v>
      </c>
      <c r="J33" s="9" t="s">
        <v>30</v>
      </c>
    </row>
    <row r="34" spans="1:10" x14ac:dyDescent="0.3">
      <c r="A34" s="5" t="s">
        <v>71</v>
      </c>
      <c r="B34" s="6">
        <v>46251</v>
      </c>
      <c r="C34" s="7" t="s">
        <v>17</v>
      </c>
      <c r="D34" s="7" t="s">
        <v>12</v>
      </c>
      <c r="E34" s="7" t="s">
        <v>13</v>
      </c>
      <c r="F34" s="7" t="s">
        <v>14</v>
      </c>
      <c r="G34" s="7">
        <v>5</v>
      </c>
      <c r="H34" s="7">
        <v>21000</v>
      </c>
      <c r="I34" s="8">
        <v>7.0000000000000007E-2</v>
      </c>
      <c r="J34" s="9" t="s">
        <v>20</v>
      </c>
    </row>
    <row r="35" spans="1:10" x14ac:dyDescent="0.3">
      <c r="A35" s="5" t="s">
        <v>72</v>
      </c>
      <c r="B35" s="6">
        <v>46251</v>
      </c>
      <c r="C35" s="7" t="s">
        <v>50</v>
      </c>
      <c r="D35" s="7" t="s">
        <v>35</v>
      </c>
      <c r="E35" s="7" t="s">
        <v>18</v>
      </c>
      <c r="F35" s="7" t="s">
        <v>19</v>
      </c>
      <c r="G35" s="7">
        <v>20</v>
      </c>
      <c r="H35" s="7">
        <v>155</v>
      </c>
      <c r="I35" s="8">
        <v>0.05</v>
      </c>
      <c r="J35" s="9" t="s">
        <v>15</v>
      </c>
    </row>
    <row r="36" spans="1:10" x14ac:dyDescent="0.3">
      <c r="A36" s="5" t="s">
        <v>73</v>
      </c>
      <c r="B36" s="6">
        <v>46252</v>
      </c>
      <c r="C36" s="7" t="s">
        <v>11</v>
      </c>
      <c r="D36" s="7" t="s">
        <v>12</v>
      </c>
      <c r="E36" s="7" t="s">
        <v>23</v>
      </c>
      <c r="F36" s="7" t="s">
        <v>24</v>
      </c>
      <c r="G36" s="7">
        <v>2</v>
      </c>
      <c r="H36" s="7">
        <v>60000</v>
      </c>
      <c r="I36" s="8">
        <v>0.1</v>
      </c>
      <c r="J36" s="9" t="s">
        <v>20</v>
      </c>
    </row>
    <row r="37" spans="1:10" x14ac:dyDescent="0.3">
      <c r="A37" s="5" t="s">
        <v>74</v>
      </c>
      <c r="B37" s="6">
        <v>46252</v>
      </c>
      <c r="C37" s="7" t="s">
        <v>32</v>
      </c>
      <c r="D37" s="7" t="s">
        <v>27</v>
      </c>
      <c r="E37" s="7" t="s">
        <v>28</v>
      </c>
      <c r="F37" s="7" t="s">
        <v>29</v>
      </c>
      <c r="G37" s="7">
        <v>5</v>
      </c>
      <c r="H37" s="7">
        <v>1900</v>
      </c>
      <c r="I37" s="8">
        <v>0.12</v>
      </c>
      <c r="J37" s="9" t="s">
        <v>15</v>
      </c>
    </row>
    <row r="38" spans="1:10" x14ac:dyDescent="0.3">
      <c r="A38" s="5" t="s">
        <v>75</v>
      </c>
      <c r="B38" s="6">
        <v>46253</v>
      </c>
      <c r="C38" s="7" t="s">
        <v>42</v>
      </c>
      <c r="D38" s="7" t="s">
        <v>12</v>
      </c>
      <c r="E38" s="7" t="s">
        <v>13</v>
      </c>
      <c r="F38" s="7" t="s">
        <v>14</v>
      </c>
      <c r="G38" s="7">
        <v>6</v>
      </c>
      <c r="H38" s="7">
        <v>1600</v>
      </c>
      <c r="I38" s="8">
        <v>0.05</v>
      </c>
      <c r="J38" s="9" t="s">
        <v>30</v>
      </c>
    </row>
    <row r="39" spans="1:10" x14ac:dyDescent="0.3">
      <c r="A39" s="5" t="s">
        <v>76</v>
      </c>
      <c r="B39" s="6">
        <v>46253</v>
      </c>
      <c r="C39" s="7" t="s">
        <v>37</v>
      </c>
      <c r="D39" s="7" t="s">
        <v>38</v>
      </c>
      <c r="E39" s="7" t="s">
        <v>18</v>
      </c>
      <c r="F39" s="7" t="s">
        <v>19</v>
      </c>
      <c r="G39" s="7">
        <v>3</v>
      </c>
      <c r="H39" s="7">
        <v>3300</v>
      </c>
      <c r="I39" s="8">
        <v>0.08</v>
      </c>
      <c r="J39" s="9" t="s">
        <v>20</v>
      </c>
    </row>
    <row r="40" spans="1:10" x14ac:dyDescent="0.3">
      <c r="A40" s="5" t="s">
        <v>77</v>
      </c>
      <c r="B40" s="6">
        <v>46254</v>
      </c>
      <c r="C40" s="7" t="s">
        <v>40</v>
      </c>
      <c r="D40" s="7" t="s">
        <v>27</v>
      </c>
      <c r="E40" s="7" t="s">
        <v>23</v>
      </c>
      <c r="F40" s="7" t="s">
        <v>24</v>
      </c>
      <c r="G40" s="7">
        <v>7</v>
      </c>
      <c r="H40" s="7">
        <v>2400</v>
      </c>
      <c r="I40" s="8">
        <v>0.1</v>
      </c>
      <c r="J40" s="9" t="s">
        <v>15</v>
      </c>
    </row>
    <row r="41" spans="1:10" x14ac:dyDescent="0.3">
      <c r="A41" s="5" t="s">
        <v>78</v>
      </c>
      <c r="B41" s="6">
        <v>46254</v>
      </c>
      <c r="C41" s="7" t="s">
        <v>34</v>
      </c>
      <c r="D41" s="7" t="s">
        <v>35</v>
      </c>
      <c r="E41" s="7" t="s">
        <v>28</v>
      </c>
      <c r="F41" s="7" t="s">
        <v>29</v>
      </c>
      <c r="G41" s="7">
        <v>18</v>
      </c>
      <c r="H41" s="7">
        <v>680</v>
      </c>
      <c r="I41" s="8">
        <v>0.05</v>
      </c>
      <c r="J41" s="9" t="s">
        <v>30</v>
      </c>
    </row>
    <row r="42" spans="1:10" x14ac:dyDescent="0.3">
      <c r="A42" s="5" t="s">
        <v>79</v>
      </c>
      <c r="B42" s="6">
        <v>46255</v>
      </c>
      <c r="C42" s="7" t="s">
        <v>17</v>
      </c>
      <c r="D42" s="7" t="s">
        <v>12</v>
      </c>
      <c r="E42" s="7" t="s">
        <v>13</v>
      </c>
      <c r="F42" s="7" t="s">
        <v>14</v>
      </c>
      <c r="G42" s="7">
        <v>3</v>
      </c>
      <c r="H42" s="7">
        <v>23000</v>
      </c>
      <c r="I42" s="8">
        <v>0.08</v>
      </c>
      <c r="J42" s="9" t="s">
        <v>15</v>
      </c>
    </row>
    <row r="43" spans="1:10" x14ac:dyDescent="0.3">
      <c r="A43" s="5" t="s">
        <v>80</v>
      </c>
      <c r="B43" s="6">
        <v>46255</v>
      </c>
      <c r="C43" s="7" t="s">
        <v>22</v>
      </c>
      <c r="D43" s="7" t="s">
        <v>12</v>
      </c>
      <c r="E43" s="7" t="s">
        <v>18</v>
      </c>
      <c r="F43" s="7" t="s">
        <v>19</v>
      </c>
      <c r="G43" s="7">
        <v>9</v>
      </c>
      <c r="H43" s="7">
        <v>2400</v>
      </c>
      <c r="I43" s="8">
        <v>0.1</v>
      </c>
      <c r="J43" s="9" t="s">
        <v>20</v>
      </c>
    </row>
    <row r="44" spans="1:10" x14ac:dyDescent="0.3">
      <c r="A44" s="5" t="s">
        <v>81</v>
      </c>
      <c r="B44" s="6">
        <v>46256</v>
      </c>
      <c r="C44" s="7" t="s">
        <v>48</v>
      </c>
      <c r="D44" s="7" t="s">
        <v>27</v>
      </c>
      <c r="E44" s="7" t="s">
        <v>23</v>
      </c>
      <c r="F44" s="7" t="s">
        <v>24</v>
      </c>
      <c r="G44" s="7">
        <v>4</v>
      </c>
      <c r="H44" s="7">
        <v>3800</v>
      </c>
      <c r="I44" s="8">
        <v>0.15</v>
      </c>
      <c r="J44" s="9" t="s">
        <v>15</v>
      </c>
    </row>
    <row r="45" spans="1:10" x14ac:dyDescent="0.3">
      <c r="A45" s="5" t="s">
        <v>82</v>
      </c>
      <c r="B45" s="6">
        <v>46256</v>
      </c>
      <c r="C45" s="7" t="s">
        <v>52</v>
      </c>
      <c r="D45" s="7" t="s">
        <v>38</v>
      </c>
      <c r="E45" s="7" t="s">
        <v>28</v>
      </c>
      <c r="F45" s="7" t="s">
        <v>29</v>
      </c>
      <c r="G45" s="7">
        <v>2</v>
      </c>
      <c r="H45" s="7">
        <v>3100</v>
      </c>
      <c r="I45" s="8">
        <v>0.05</v>
      </c>
      <c r="J45" s="9" t="s">
        <v>20</v>
      </c>
    </row>
    <row r="46" spans="1:10" x14ac:dyDescent="0.3">
      <c r="A46" s="5" t="s">
        <v>83</v>
      </c>
      <c r="B46" s="6">
        <v>46257</v>
      </c>
      <c r="C46" s="7" t="s">
        <v>11</v>
      </c>
      <c r="D46" s="7" t="s">
        <v>12</v>
      </c>
      <c r="E46" s="7" t="s">
        <v>13</v>
      </c>
      <c r="F46" s="7" t="s">
        <v>14</v>
      </c>
      <c r="G46" s="7">
        <v>1</v>
      </c>
      <c r="H46" s="7">
        <v>65000</v>
      </c>
      <c r="I46" s="8">
        <v>0.1</v>
      </c>
      <c r="J46" s="9" t="s">
        <v>15</v>
      </c>
    </row>
    <row r="47" spans="1:10" x14ac:dyDescent="0.3">
      <c r="A47" s="5" t="s">
        <v>84</v>
      </c>
      <c r="B47" s="6">
        <v>46257</v>
      </c>
      <c r="C47" s="7" t="s">
        <v>26</v>
      </c>
      <c r="D47" s="7" t="s">
        <v>27</v>
      </c>
      <c r="E47" s="7" t="s">
        <v>18</v>
      </c>
      <c r="F47" s="7" t="s">
        <v>19</v>
      </c>
      <c r="G47" s="7">
        <v>12</v>
      </c>
      <c r="H47" s="7">
        <v>800</v>
      </c>
      <c r="I47" s="8">
        <v>0.12</v>
      </c>
      <c r="J47" s="9" t="s">
        <v>30</v>
      </c>
    </row>
    <row r="48" spans="1:10" x14ac:dyDescent="0.3">
      <c r="A48" s="5" t="s">
        <v>85</v>
      </c>
      <c r="B48" s="6">
        <v>46258</v>
      </c>
      <c r="C48" s="7" t="s">
        <v>44</v>
      </c>
      <c r="D48" s="7" t="s">
        <v>12</v>
      </c>
      <c r="E48" s="7" t="s">
        <v>23</v>
      </c>
      <c r="F48" s="7" t="s">
        <v>24</v>
      </c>
      <c r="G48" s="7">
        <v>15</v>
      </c>
      <c r="H48" s="7">
        <v>600</v>
      </c>
      <c r="I48" s="8">
        <v>0.05</v>
      </c>
      <c r="J48" s="9" t="s">
        <v>15</v>
      </c>
    </row>
    <row r="49" spans="1:10" x14ac:dyDescent="0.3">
      <c r="A49" s="5" t="s">
        <v>86</v>
      </c>
      <c r="B49" s="6">
        <v>46258</v>
      </c>
      <c r="C49" s="7" t="s">
        <v>40</v>
      </c>
      <c r="D49" s="7" t="s">
        <v>27</v>
      </c>
      <c r="E49" s="7" t="s">
        <v>28</v>
      </c>
      <c r="F49" s="7" t="s">
        <v>29</v>
      </c>
      <c r="G49" s="7">
        <v>6</v>
      </c>
      <c r="H49" s="7">
        <v>2600</v>
      </c>
      <c r="I49" s="8">
        <v>0.1</v>
      </c>
      <c r="J49" s="9" t="s">
        <v>20</v>
      </c>
    </row>
    <row r="50" spans="1:10" x14ac:dyDescent="0.3">
      <c r="A50" s="5" t="s">
        <v>87</v>
      </c>
      <c r="B50" s="6">
        <v>46259</v>
      </c>
      <c r="C50" s="7" t="s">
        <v>34</v>
      </c>
      <c r="D50" s="7" t="s">
        <v>35</v>
      </c>
      <c r="E50" s="7" t="s">
        <v>13</v>
      </c>
      <c r="F50" s="7" t="s">
        <v>14</v>
      </c>
      <c r="G50" s="7">
        <v>25</v>
      </c>
      <c r="H50" s="7">
        <v>730</v>
      </c>
      <c r="I50" s="8">
        <v>0.05</v>
      </c>
      <c r="J50" s="9" t="s">
        <v>15</v>
      </c>
    </row>
    <row r="51" spans="1:10" ht="15" thickBot="1" x14ac:dyDescent="0.35">
      <c r="A51" s="10" t="s">
        <v>88</v>
      </c>
      <c r="B51" s="11">
        <v>46259</v>
      </c>
      <c r="C51" s="12" t="s">
        <v>55</v>
      </c>
      <c r="D51" s="12" t="s">
        <v>12</v>
      </c>
      <c r="E51" s="12" t="s">
        <v>18</v>
      </c>
      <c r="F51" s="12" t="s">
        <v>19</v>
      </c>
      <c r="G51" s="12">
        <v>2</v>
      </c>
      <c r="H51" s="12">
        <v>13000</v>
      </c>
      <c r="I51" s="13">
        <v>0.08</v>
      </c>
      <c r="J51" s="14" t="s">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21918-5653-4BF9-B1A0-075F9FABDE17}">
  <dimension ref="A1:J51"/>
  <sheetViews>
    <sheetView workbookViewId="0">
      <selection activeCell="C19" sqref="A1:J51"/>
    </sheetView>
  </sheetViews>
  <sheetFormatPr defaultRowHeight="14.4" x14ac:dyDescent="0.3"/>
  <cols>
    <col min="1" max="1" width="7.6640625" style="23" bestFit="1" customWidth="1"/>
    <col min="2" max="2" width="10.33203125" style="1" bestFit="1" customWidth="1"/>
    <col min="3" max="3" width="11.109375" bestFit="1" customWidth="1"/>
    <col min="4" max="4" width="9.88671875" bestFit="1" customWidth="1"/>
    <col min="5" max="5" width="6.77734375" bestFit="1" customWidth="1"/>
    <col min="6" max="6" width="11" bestFit="1" customWidth="1"/>
    <col min="7" max="7" width="8.33203125" bestFit="1" customWidth="1"/>
    <col min="8" max="8" width="11.33203125" style="18" bestFit="1" customWidth="1"/>
    <col min="9" max="9" width="8.33203125" bestFit="1" customWidth="1"/>
    <col min="10" max="10" width="8.5546875" bestFit="1" customWidth="1"/>
  </cols>
  <sheetData>
    <row r="1" spans="1:10" x14ac:dyDescent="0.3">
      <c r="A1" s="20" t="s">
        <v>0</v>
      </c>
      <c r="B1" s="19" t="s">
        <v>1</v>
      </c>
      <c r="C1" s="3" t="s">
        <v>2</v>
      </c>
      <c r="D1" s="3" t="s">
        <v>3</v>
      </c>
      <c r="E1" s="3" t="s">
        <v>4</v>
      </c>
      <c r="F1" s="3" t="s">
        <v>5</v>
      </c>
      <c r="G1" s="3" t="s">
        <v>6</v>
      </c>
      <c r="H1" s="15" t="s">
        <v>7</v>
      </c>
      <c r="I1" s="3" t="s">
        <v>8</v>
      </c>
      <c r="J1" s="4" t="s">
        <v>9</v>
      </c>
    </row>
    <row r="2" spans="1:10" x14ac:dyDescent="0.3">
      <c r="A2" s="21" t="s">
        <v>10</v>
      </c>
      <c r="B2" s="6">
        <v>46235</v>
      </c>
      <c r="C2" s="7" t="s">
        <v>11</v>
      </c>
      <c r="D2" s="7" t="s">
        <v>12</v>
      </c>
      <c r="E2" s="7" t="s">
        <v>13</v>
      </c>
      <c r="F2" s="7" t="s">
        <v>14</v>
      </c>
      <c r="G2" s="7">
        <v>2</v>
      </c>
      <c r="H2" s="16">
        <v>55000</v>
      </c>
      <c r="I2" s="8">
        <v>0.05</v>
      </c>
      <c r="J2" s="9" t="s">
        <v>15</v>
      </c>
    </row>
    <row r="3" spans="1:10" x14ac:dyDescent="0.3">
      <c r="A3" s="21" t="s">
        <v>16</v>
      </c>
      <c r="B3" s="6">
        <v>46235</v>
      </c>
      <c r="C3" s="7" t="s">
        <v>17</v>
      </c>
      <c r="D3" s="7" t="s">
        <v>12</v>
      </c>
      <c r="E3" s="7" t="s">
        <v>18</v>
      </c>
      <c r="F3" s="7" t="s">
        <v>19</v>
      </c>
      <c r="G3" s="7">
        <v>3</v>
      </c>
      <c r="H3" s="16">
        <v>22000</v>
      </c>
      <c r="I3" s="8">
        <v>0.1</v>
      </c>
      <c r="J3" s="9" t="s">
        <v>20</v>
      </c>
    </row>
    <row r="4" spans="1:10" x14ac:dyDescent="0.3">
      <c r="A4" s="21" t="s">
        <v>21</v>
      </c>
      <c r="B4" s="6">
        <v>46236</v>
      </c>
      <c r="C4" s="7" t="s">
        <v>22</v>
      </c>
      <c r="D4" s="7" t="s">
        <v>12</v>
      </c>
      <c r="E4" s="7" t="s">
        <v>23</v>
      </c>
      <c r="F4" s="7" t="s">
        <v>24</v>
      </c>
      <c r="G4" s="7">
        <v>5</v>
      </c>
      <c r="H4" s="16">
        <v>2500</v>
      </c>
      <c r="I4" s="8">
        <v>0.05</v>
      </c>
      <c r="J4" s="9" t="s">
        <v>15</v>
      </c>
    </row>
    <row r="5" spans="1:10" x14ac:dyDescent="0.3">
      <c r="A5" s="21" t="s">
        <v>25</v>
      </c>
      <c r="B5" s="6">
        <v>46236</v>
      </c>
      <c r="C5" s="7" t="s">
        <v>26</v>
      </c>
      <c r="D5" s="7" t="s">
        <v>27</v>
      </c>
      <c r="E5" s="7" t="s">
        <v>28</v>
      </c>
      <c r="F5" s="7" t="s">
        <v>29</v>
      </c>
      <c r="G5" s="7">
        <v>6</v>
      </c>
      <c r="H5" s="16">
        <v>900</v>
      </c>
      <c r="I5" s="8">
        <v>0.15</v>
      </c>
      <c r="J5" s="9" t="s">
        <v>30</v>
      </c>
    </row>
    <row r="6" spans="1:10" x14ac:dyDescent="0.3">
      <c r="A6" s="21" t="s">
        <v>31</v>
      </c>
      <c r="B6" s="6">
        <v>46237</v>
      </c>
      <c r="C6" s="7" t="s">
        <v>32</v>
      </c>
      <c r="D6" s="7" t="s">
        <v>27</v>
      </c>
      <c r="E6" s="7" t="s">
        <v>13</v>
      </c>
      <c r="F6" s="7" t="s">
        <v>14</v>
      </c>
      <c r="G6" s="7">
        <v>4</v>
      </c>
      <c r="H6" s="16">
        <v>1800</v>
      </c>
      <c r="I6" s="8">
        <v>0.1</v>
      </c>
      <c r="J6" s="9" t="s">
        <v>20</v>
      </c>
    </row>
    <row r="7" spans="1:10" x14ac:dyDescent="0.3">
      <c r="A7" s="21" t="s">
        <v>33</v>
      </c>
      <c r="B7" s="6">
        <v>46237</v>
      </c>
      <c r="C7" s="7" t="s">
        <v>34</v>
      </c>
      <c r="D7" s="7" t="s">
        <v>35</v>
      </c>
      <c r="E7" s="7" t="s">
        <v>18</v>
      </c>
      <c r="F7" s="7" t="s">
        <v>19</v>
      </c>
      <c r="G7" s="7">
        <v>10</v>
      </c>
      <c r="H7" s="16">
        <v>750</v>
      </c>
      <c r="I7" s="8">
        <v>0.05</v>
      </c>
      <c r="J7" s="9" t="s">
        <v>15</v>
      </c>
    </row>
    <row r="8" spans="1:10" x14ac:dyDescent="0.3">
      <c r="A8" s="21" t="s">
        <v>36</v>
      </c>
      <c r="B8" s="6">
        <v>46238</v>
      </c>
      <c r="C8" s="7" t="s">
        <v>37</v>
      </c>
      <c r="D8" s="7" t="s">
        <v>38</v>
      </c>
      <c r="E8" s="7" t="s">
        <v>23</v>
      </c>
      <c r="F8" s="7" t="s">
        <v>24</v>
      </c>
      <c r="G8" s="7">
        <v>2</v>
      </c>
      <c r="H8" s="16">
        <v>3200</v>
      </c>
      <c r="I8" s="8">
        <v>0.08</v>
      </c>
      <c r="J8" s="9" t="s">
        <v>20</v>
      </c>
    </row>
    <row r="9" spans="1:10" x14ac:dyDescent="0.3">
      <c r="A9" s="21" t="s">
        <v>39</v>
      </c>
      <c r="B9" s="6">
        <v>46238</v>
      </c>
      <c r="C9" s="7" t="s">
        <v>40</v>
      </c>
      <c r="D9" s="7" t="s">
        <v>27</v>
      </c>
      <c r="E9" s="7" t="s">
        <v>28</v>
      </c>
      <c r="F9" s="7" t="s">
        <v>29</v>
      </c>
      <c r="G9" s="7">
        <v>3</v>
      </c>
      <c r="H9" s="16">
        <v>2500</v>
      </c>
      <c r="I9" s="8">
        <v>0.12</v>
      </c>
      <c r="J9" s="9" t="s">
        <v>15</v>
      </c>
    </row>
    <row r="10" spans="1:10" x14ac:dyDescent="0.3">
      <c r="A10" s="21" t="s">
        <v>41</v>
      </c>
      <c r="B10" s="6">
        <v>46239</v>
      </c>
      <c r="C10" s="7" t="s">
        <v>42</v>
      </c>
      <c r="D10" s="7" t="s">
        <v>12</v>
      </c>
      <c r="E10" s="7" t="s">
        <v>13</v>
      </c>
      <c r="F10" s="7" t="s">
        <v>14</v>
      </c>
      <c r="G10" s="7">
        <v>5</v>
      </c>
      <c r="H10" s="16">
        <v>1500</v>
      </c>
      <c r="I10" s="8">
        <v>0.05</v>
      </c>
      <c r="J10" s="9" t="s">
        <v>30</v>
      </c>
    </row>
    <row r="11" spans="1:10" x14ac:dyDescent="0.3">
      <c r="A11" s="21" t="s">
        <v>43</v>
      </c>
      <c r="B11" s="6">
        <v>46239</v>
      </c>
      <c r="C11" s="7" t="s">
        <v>44</v>
      </c>
      <c r="D11" s="7" t="s">
        <v>12</v>
      </c>
      <c r="E11" s="7" t="s">
        <v>18</v>
      </c>
      <c r="F11" s="7" t="s">
        <v>19</v>
      </c>
      <c r="G11" s="7">
        <v>8</v>
      </c>
      <c r="H11" s="16">
        <v>700</v>
      </c>
      <c r="I11" s="8">
        <v>0.1</v>
      </c>
      <c r="J11" s="9" t="s">
        <v>15</v>
      </c>
    </row>
    <row r="12" spans="1:10" x14ac:dyDescent="0.3">
      <c r="A12" s="21" t="s">
        <v>45</v>
      </c>
      <c r="B12" s="6">
        <v>46240</v>
      </c>
      <c r="C12" s="7" t="s">
        <v>11</v>
      </c>
      <c r="D12" s="7" t="s">
        <v>12</v>
      </c>
      <c r="E12" s="7" t="s">
        <v>23</v>
      </c>
      <c r="F12" s="7" t="s">
        <v>24</v>
      </c>
      <c r="G12" s="7">
        <v>1</v>
      </c>
      <c r="H12" s="16">
        <v>62000</v>
      </c>
      <c r="I12" s="8">
        <v>7.0000000000000007E-2</v>
      </c>
      <c r="J12" s="9" t="s">
        <v>20</v>
      </c>
    </row>
    <row r="13" spans="1:10" x14ac:dyDescent="0.3">
      <c r="A13" s="21" t="s">
        <v>46</v>
      </c>
      <c r="B13" s="6">
        <v>46240</v>
      </c>
      <c r="C13" s="7" t="s">
        <v>17</v>
      </c>
      <c r="D13" s="7" t="s">
        <v>12</v>
      </c>
      <c r="E13" s="7" t="s">
        <v>28</v>
      </c>
      <c r="F13" s="7" t="s">
        <v>29</v>
      </c>
      <c r="G13" s="7">
        <v>4</v>
      </c>
      <c r="H13" s="16">
        <v>18000</v>
      </c>
      <c r="I13" s="8">
        <v>0.05</v>
      </c>
      <c r="J13" s="9" t="s">
        <v>15</v>
      </c>
    </row>
    <row r="14" spans="1:10" x14ac:dyDescent="0.3">
      <c r="A14" s="21" t="s">
        <v>47</v>
      </c>
      <c r="B14" s="6">
        <v>46241</v>
      </c>
      <c r="C14" s="7" t="s">
        <v>48</v>
      </c>
      <c r="D14" s="7" t="s">
        <v>27</v>
      </c>
      <c r="E14" s="7" t="s">
        <v>13</v>
      </c>
      <c r="F14" s="7" t="s">
        <v>14</v>
      </c>
      <c r="G14" s="7">
        <v>2</v>
      </c>
      <c r="H14" s="16">
        <v>3500</v>
      </c>
      <c r="I14" s="8">
        <v>0.1</v>
      </c>
      <c r="J14" s="9" t="s">
        <v>30</v>
      </c>
    </row>
    <row r="15" spans="1:10" x14ac:dyDescent="0.3">
      <c r="A15" s="21" t="s">
        <v>49</v>
      </c>
      <c r="B15" s="6">
        <v>46241</v>
      </c>
      <c r="C15" s="7" t="s">
        <v>50</v>
      </c>
      <c r="D15" s="7" t="s">
        <v>35</v>
      </c>
      <c r="E15" s="7" t="s">
        <v>18</v>
      </c>
      <c r="F15" s="7" t="s">
        <v>19</v>
      </c>
      <c r="G15" s="7">
        <v>12</v>
      </c>
      <c r="H15" s="16">
        <v>160</v>
      </c>
      <c r="I15" s="8">
        <v>0.05</v>
      </c>
      <c r="J15" s="9" t="s">
        <v>15</v>
      </c>
    </row>
    <row r="16" spans="1:10" x14ac:dyDescent="0.3">
      <c r="A16" s="21" t="s">
        <v>51</v>
      </c>
      <c r="B16" s="6">
        <v>46242</v>
      </c>
      <c r="C16" s="7" t="s">
        <v>52</v>
      </c>
      <c r="D16" s="7" t="s">
        <v>38</v>
      </c>
      <c r="E16" s="7" t="s">
        <v>23</v>
      </c>
      <c r="F16" s="7" t="s">
        <v>24</v>
      </c>
      <c r="G16" s="7">
        <v>3</v>
      </c>
      <c r="H16" s="16">
        <v>2800</v>
      </c>
      <c r="I16" s="8">
        <v>0.08</v>
      </c>
      <c r="J16" s="9" t="s">
        <v>20</v>
      </c>
    </row>
    <row r="17" spans="1:10" x14ac:dyDescent="0.3">
      <c r="A17" s="21" t="s">
        <v>53</v>
      </c>
      <c r="B17" s="6">
        <v>46242</v>
      </c>
      <c r="C17" s="7" t="s">
        <v>40</v>
      </c>
      <c r="D17" s="7" t="s">
        <v>27</v>
      </c>
      <c r="E17" s="7" t="s">
        <v>28</v>
      </c>
      <c r="F17" s="7" t="s">
        <v>29</v>
      </c>
      <c r="G17" s="7">
        <v>5</v>
      </c>
      <c r="H17" s="16">
        <v>2200</v>
      </c>
      <c r="I17" s="8">
        <v>0.15</v>
      </c>
      <c r="J17" s="9" t="s">
        <v>15</v>
      </c>
    </row>
    <row r="18" spans="1:10" x14ac:dyDescent="0.3">
      <c r="A18" s="21" t="s">
        <v>54</v>
      </c>
      <c r="B18" s="6">
        <v>46243</v>
      </c>
      <c r="C18" s="7" t="s">
        <v>55</v>
      </c>
      <c r="D18" s="7" t="s">
        <v>12</v>
      </c>
      <c r="E18" s="7" t="s">
        <v>13</v>
      </c>
      <c r="F18" s="7" t="s">
        <v>14</v>
      </c>
      <c r="G18" s="7">
        <v>2</v>
      </c>
      <c r="H18" s="16">
        <v>12500</v>
      </c>
      <c r="I18" s="8">
        <v>0.1</v>
      </c>
      <c r="J18" s="9" t="s">
        <v>20</v>
      </c>
    </row>
    <row r="19" spans="1:10" x14ac:dyDescent="0.3">
      <c r="A19" s="21" t="s">
        <v>56</v>
      </c>
      <c r="B19" s="6">
        <v>46243</v>
      </c>
      <c r="C19" s="7" t="s">
        <v>42</v>
      </c>
      <c r="D19" s="7" t="s">
        <v>12</v>
      </c>
      <c r="E19" s="7" t="s">
        <v>18</v>
      </c>
      <c r="F19" s="7" t="s">
        <v>19</v>
      </c>
      <c r="G19" s="7">
        <v>7</v>
      </c>
      <c r="H19" s="16">
        <v>1700</v>
      </c>
      <c r="I19" s="8">
        <v>0.05</v>
      </c>
      <c r="J19" s="9" t="s">
        <v>30</v>
      </c>
    </row>
    <row r="20" spans="1:10" x14ac:dyDescent="0.3">
      <c r="A20" s="21" t="s">
        <v>57</v>
      </c>
      <c r="B20" s="6">
        <v>46244</v>
      </c>
      <c r="C20" s="7" t="s">
        <v>26</v>
      </c>
      <c r="D20" s="7" t="s">
        <v>27</v>
      </c>
      <c r="E20" s="7" t="s">
        <v>23</v>
      </c>
      <c r="F20" s="7" t="s">
        <v>24</v>
      </c>
      <c r="G20" s="7">
        <v>8</v>
      </c>
      <c r="H20" s="16">
        <v>850</v>
      </c>
      <c r="I20" s="8">
        <v>0.1</v>
      </c>
      <c r="J20" s="9" t="s">
        <v>15</v>
      </c>
    </row>
    <row r="21" spans="1:10" x14ac:dyDescent="0.3">
      <c r="A21" s="21" t="s">
        <v>58</v>
      </c>
      <c r="B21" s="6">
        <v>46244</v>
      </c>
      <c r="C21" s="7" t="s">
        <v>34</v>
      </c>
      <c r="D21" s="7" t="s">
        <v>35</v>
      </c>
      <c r="E21" s="7" t="s">
        <v>28</v>
      </c>
      <c r="F21" s="7" t="s">
        <v>29</v>
      </c>
      <c r="G21" s="7">
        <v>15</v>
      </c>
      <c r="H21" s="16">
        <v>720</v>
      </c>
      <c r="I21" s="8">
        <v>0.05</v>
      </c>
      <c r="J21" s="9" t="s">
        <v>20</v>
      </c>
    </row>
    <row r="22" spans="1:10" x14ac:dyDescent="0.3">
      <c r="A22" s="21" t="s">
        <v>59</v>
      </c>
      <c r="B22" s="6">
        <v>46245</v>
      </c>
      <c r="C22" s="7" t="s">
        <v>17</v>
      </c>
      <c r="D22" s="7" t="s">
        <v>12</v>
      </c>
      <c r="E22" s="7" t="s">
        <v>13</v>
      </c>
      <c r="F22" s="7" t="s">
        <v>14</v>
      </c>
      <c r="G22" s="7">
        <v>2</v>
      </c>
      <c r="H22" s="16">
        <v>24000</v>
      </c>
      <c r="I22" s="8">
        <v>0.08</v>
      </c>
      <c r="J22" s="9" t="s">
        <v>15</v>
      </c>
    </row>
    <row r="23" spans="1:10" x14ac:dyDescent="0.3">
      <c r="A23" s="21" t="s">
        <v>60</v>
      </c>
      <c r="B23" s="6">
        <v>46245</v>
      </c>
      <c r="C23" s="7" t="s">
        <v>11</v>
      </c>
      <c r="D23" s="7" t="s">
        <v>12</v>
      </c>
      <c r="E23" s="7" t="s">
        <v>18</v>
      </c>
      <c r="F23" s="7" t="s">
        <v>19</v>
      </c>
      <c r="G23" s="7">
        <v>1</v>
      </c>
      <c r="H23" s="16">
        <v>58000</v>
      </c>
      <c r="I23" s="8">
        <v>0.05</v>
      </c>
      <c r="J23" s="9" t="s">
        <v>20</v>
      </c>
    </row>
    <row r="24" spans="1:10" x14ac:dyDescent="0.3">
      <c r="A24" s="21" t="s">
        <v>61</v>
      </c>
      <c r="B24" s="6">
        <v>46246</v>
      </c>
      <c r="C24" s="7" t="s">
        <v>32</v>
      </c>
      <c r="D24" s="7" t="s">
        <v>27</v>
      </c>
      <c r="E24" s="7" t="s">
        <v>23</v>
      </c>
      <c r="F24" s="7" t="s">
        <v>24</v>
      </c>
      <c r="G24" s="7">
        <v>6</v>
      </c>
      <c r="H24" s="16">
        <v>1600</v>
      </c>
      <c r="I24" s="8">
        <v>0.12</v>
      </c>
      <c r="J24" s="9" t="s">
        <v>30</v>
      </c>
    </row>
    <row r="25" spans="1:10" x14ac:dyDescent="0.3">
      <c r="A25" s="21" t="s">
        <v>62</v>
      </c>
      <c r="B25" s="6">
        <v>46246</v>
      </c>
      <c r="C25" s="7" t="s">
        <v>37</v>
      </c>
      <c r="D25" s="6" t="s">
        <v>38</v>
      </c>
      <c r="E25" s="7" t="s">
        <v>28</v>
      </c>
      <c r="F25" s="7" t="s">
        <v>29</v>
      </c>
      <c r="G25" s="7">
        <v>2</v>
      </c>
      <c r="H25" s="16">
        <v>3500</v>
      </c>
      <c r="I25" s="8">
        <v>0.1</v>
      </c>
      <c r="J25" s="9" t="s">
        <v>15</v>
      </c>
    </row>
    <row r="26" spans="1:10" x14ac:dyDescent="0.3">
      <c r="A26" s="21" t="s">
        <v>63</v>
      </c>
      <c r="B26" s="6">
        <v>46247</v>
      </c>
      <c r="C26" s="7" t="s">
        <v>22</v>
      </c>
      <c r="D26" s="7" t="s">
        <v>12</v>
      </c>
      <c r="E26" s="7" t="s">
        <v>13</v>
      </c>
      <c r="F26" s="7" t="s">
        <v>14</v>
      </c>
      <c r="G26" s="7">
        <v>10</v>
      </c>
      <c r="H26" s="16">
        <v>2200</v>
      </c>
      <c r="I26" s="8">
        <v>0.05</v>
      </c>
      <c r="J26" s="9" t="s">
        <v>20</v>
      </c>
    </row>
    <row r="27" spans="1:10" x14ac:dyDescent="0.3">
      <c r="A27" s="21" t="s">
        <v>64</v>
      </c>
      <c r="B27" s="6">
        <v>46247</v>
      </c>
      <c r="C27" s="7" t="s">
        <v>40</v>
      </c>
      <c r="D27" s="7" t="s">
        <v>27</v>
      </c>
      <c r="E27" s="7" t="s">
        <v>18</v>
      </c>
      <c r="F27" s="7" t="s">
        <v>19</v>
      </c>
      <c r="G27" s="7">
        <v>4</v>
      </c>
      <c r="H27" s="16">
        <v>2800</v>
      </c>
      <c r="I27" s="8">
        <v>0.15</v>
      </c>
      <c r="J27" s="9" t="s">
        <v>15</v>
      </c>
    </row>
    <row r="28" spans="1:10" x14ac:dyDescent="0.3">
      <c r="A28" s="21" t="s">
        <v>65</v>
      </c>
      <c r="B28" s="6">
        <v>46248</v>
      </c>
      <c r="C28" s="7" t="s">
        <v>44</v>
      </c>
      <c r="D28" s="7" t="s">
        <v>12</v>
      </c>
      <c r="E28" s="7" t="s">
        <v>23</v>
      </c>
      <c r="F28" s="7" t="s">
        <v>24</v>
      </c>
      <c r="G28" s="7">
        <v>12</v>
      </c>
      <c r="H28" s="16">
        <v>650</v>
      </c>
      <c r="I28" s="8">
        <v>0.05</v>
      </c>
      <c r="J28" s="9" t="s">
        <v>30</v>
      </c>
    </row>
    <row r="29" spans="1:10" x14ac:dyDescent="0.3">
      <c r="A29" s="21" t="s">
        <v>66</v>
      </c>
      <c r="B29" s="6">
        <v>46248</v>
      </c>
      <c r="C29" s="7" t="s">
        <v>48</v>
      </c>
      <c r="D29" s="7" t="s">
        <v>27</v>
      </c>
      <c r="E29" s="7" t="s">
        <v>28</v>
      </c>
      <c r="F29" s="7" t="s">
        <v>29</v>
      </c>
      <c r="G29" s="7">
        <v>3</v>
      </c>
      <c r="H29" s="16">
        <v>4200</v>
      </c>
      <c r="I29" s="8">
        <v>0.1</v>
      </c>
      <c r="J29" s="9" t="s">
        <v>20</v>
      </c>
    </row>
    <row r="30" spans="1:10" x14ac:dyDescent="0.3">
      <c r="A30" s="21" t="s">
        <v>67</v>
      </c>
      <c r="B30" s="6">
        <v>46249</v>
      </c>
      <c r="C30" s="7" t="s">
        <v>34</v>
      </c>
      <c r="D30" s="7" t="s">
        <v>35</v>
      </c>
      <c r="E30" s="7" t="s">
        <v>13</v>
      </c>
      <c r="F30" s="7" t="s">
        <v>14</v>
      </c>
      <c r="G30" s="7">
        <v>20</v>
      </c>
      <c r="H30" s="16">
        <v>700</v>
      </c>
      <c r="I30" s="8">
        <v>0.05</v>
      </c>
      <c r="J30" s="9" t="s">
        <v>15</v>
      </c>
    </row>
    <row r="31" spans="1:10" x14ac:dyDescent="0.3">
      <c r="A31" s="21" t="s">
        <v>68</v>
      </c>
      <c r="B31" s="6">
        <v>46249</v>
      </c>
      <c r="C31" s="7" t="s">
        <v>52</v>
      </c>
      <c r="D31" s="7" t="s">
        <v>38</v>
      </c>
      <c r="E31" s="7" t="s">
        <v>18</v>
      </c>
      <c r="F31" s="7" t="s">
        <v>19</v>
      </c>
      <c r="G31" s="7">
        <v>4</v>
      </c>
      <c r="H31" s="16">
        <v>3000</v>
      </c>
      <c r="I31" s="8">
        <v>0.08</v>
      </c>
      <c r="J31" s="9" t="s">
        <v>20</v>
      </c>
    </row>
    <row r="32" spans="1:10" x14ac:dyDescent="0.3">
      <c r="A32" s="21" t="s">
        <v>69</v>
      </c>
      <c r="B32" s="6">
        <v>46250</v>
      </c>
      <c r="C32" s="7" t="s">
        <v>55</v>
      </c>
      <c r="D32" s="7" t="s">
        <v>12</v>
      </c>
      <c r="E32" s="7" t="s">
        <v>23</v>
      </c>
      <c r="F32" s="7" t="s">
        <v>24</v>
      </c>
      <c r="G32" s="7">
        <v>3</v>
      </c>
      <c r="H32" s="16">
        <v>11500</v>
      </c>
      <c r="I32" s="8">
        <v>0.1</v>
      </c>
      <c r="J32" s="9" t="s">
        <v>15</v>
      </c>
    </row>
    <row r="33" spans="1:10" x14ac:dyDescent="0.3">
      <c r="A33" s="21" t="s">
        <v>70</v>
      </c>
      <c r="B33" s="6">
        <v>46250</v>
      </c>
      <c r="C33" s="7" t="s">
        <v>26</v>
      </c>
      <c r="D33" s="7" t="s">
        <v>27</v>
      </c>
      <c r="E33" s="7" t="s">
        <v>28</v>
      </c>
      <c r="F33" s="7" t="s">
        <v>29</v>
      </c>
      <c r="G33" s="7">
        <v>10</v>
      </c>
      <c r="H33" s="16">
        <v>950</v>
      </c>
      <c r="I33" s="8">
        <v>0.15</v>
      </c>
      <c r="J33" s="9" t="s">
        <v>30</v>
      </c>
    </row>
    <row r="34" spans="1:10" x14ac:dyDescent="0.3">
      <c r="A34" s="21" t="s">
        <v>71</v>
      </c>
      <c r="B34" s="6">
        <v>46251</v>
      </c>
      <c r="C34" s="7" t="s">
        <v>17</v>
      </c>
      <c r="D34" s="7" t="s">
        <v>12</v>
      </c>
      <c r="E34" s="7" t="s">
        <v>13</v>
      </c>
      <c r="F34" s="7" t="s">
        <v>14</v>
      </c>
      <c r="G34" s="7">
        <v>5</v>
      </c>
      <c r="H34" s="16">
        <v>21000</v>
      </c>
      <c r="I34" s="8">
        <v>7.0000000000000007E-2</v>
      </c>
      <c r="J34" s="9" t="s">
        <v>20</v>
      </c>
    </row>
    <row r="35" spans="1:10" x14ac:dyDescent="0.3">
      <c r="A35" s="21" t="s">
        <v>72</v>
      </c>
      <c r="B35" s="6">
        <v>46251</v>
      </c>
      <c r="C35" s="7" t="s">
        <v>50</v>
      </c>
      <c r="D35" s="7" t="s">
        <v>35</v>
      </c>
      <c r="E35" s="7" t="s">
        <v>18</v>
      </c>
      <c r="F35" s="7" t="s">
        <v>19</v>
      </c>
      <c r="G35" s="7">
        <v>20</v>
      </c>
      <c r="H35" s="16">
        <v>155</v>
      </c>
      <c r="I35" s="8">
        <v>0.05</v>
      </c>
      <c r="J35" s="9" t="s">
        <v>15</v>
      </c>
    </row>
    <row r="36" spans="1:10" x14ac:dyDescent="0.3">
      <c r="A36" s="21" t="s">
        <v>73</v>
      </c>
      <c r="B36" s="6">
        <v>46252</v>
      </c>
      <c r="C36" s="7" t="s">
        <v>11</v>
      </c>
      <c r="D36" s="7" t="s">
        <v>12</v>
      </c>
      <c r="E36" s="7" t="s">
        <v>23</v>
      </c>
      <c r="F36" s="7" t="s">
        <v>24</v>
      </c>
      <c r="G36" s="7">
        <v>2</v>
      </c>
      <c r="H36" s="16">
        <v>60000</v>
      </c>
      <c r="I36" s="8">
        <v>0.1</v>
      </c>
      <c r="J36" s="9" t="s">
        <v>20</v>
      </c>
    </row>
    <row r="37" spans="1:10" x14ac:dyDescent="0.3">
      <c r="A37" s="21" t="s">
        <v>74</v>
      </c>
      <c r="B37" s="6">
        <v>46252</v>
      </c>
      <c r="C37" s="7" t="s">
        <v>32</v>
      </c>
      <c r="D37" s="7" t="s">
        <v>27</v>
      </c>
      <c r="E37" s="7" t="s">
        <v>28</v>
      </c>
      <c r="F37" s="7" t="s">
        <v>29</v>
      </c>
      <c r="G37" s="7">
        <v>5</v>
      </c>
      <c r="H37" s="16">
        <v>1900</v>
      </c>
      <c r="I37" s="8">
        <v>0.12</v>
      </c>
      <c r="J37" s="9" t="s">
        <v>15</v>
      </c>
    </row>
    <row r="38" spans="1:10" x14ac:dyDescent="0.3">
      <c r="A38" s="21" t="s">
        <v>75</v>
      </c>
      <c r="B38" s="6">
        <v>46253</v>
      </c>
      <c r="C38" s="7" t="s">
        <v>42</v>
      </c>
      <c r="D38" s="7" t="s">
        <v>12</v>
      </c>
      <c r="E38" s="7" t="s">
        <v>13</v>
      </c>
      <c r="F38" s="7" t="s">
        <v>14</v>
      </c>
      <c r="G38" s="7">
        <v>6</v>
      </c>
      <c r="H38" s="16">
        <v>1600</v>
      </c>
      <c r="I38" s="8">
        <v>0.05</v>
      </c>
      <c r="J38" s="9" t="s">
        <v>30</v>
      </c>
    </row>
    <row r="39" spans="1:10" x14ac:dyDescent="0.3">
      <c r="A39" s="21" t="s">
        <v>76</v>
      </c>
      <c r="B39" s="6">
        <v>46253</v>
      </c>
      <c r="C39" s="7" t="s">
        <v>37</v>
      </c>
      <c r="D39" s="7" t="s">
        <v>38</v>
      </c>
      <c r="E39" s="7" t="s">
        <v>18</v>
      </c>
      <c r="F39" s="7" t="s">
        <v>19</v>
      </c>
      <c r="G39" s="7">
        <v>3</v>
      </c>
      <c r="H39" s="16">
        <v>3300</v>
      </c>
      <c r="I39" s="8">
        <v>0.08</v>
      </c>
      <c r="J39" s="9" t="s">
        <v>20</v>
      </c>
    </row>
    <row r="40" spans="1:10" x14ac:dyDescent="0.3">
      <c r="A40" s="21" t="s">
        <v>77</v>
      </c>
      <c r="B40" s="6">
        <v>46254</v>
      </c>
      <c r="C40" s="7" t="s">
        <v>40</v>
      </c>
      <c r="D40" s="7" t="s">
        <v>27</v>
      </c>
      <c r="E40" s="7" t="s">
        <v>23</v>
      </c>
      <c r="F40" s="7" t="s">
        <v>24</v>
      </c>
      <c r="G40" s="7">
        <v>7</v>
      </c>
      <c r="H40" s="16">
        <v>2400</v>
      </c>
      <c r="I40" s="8">
        <v>0.1</v>
      </c>
      <c r="J40" s="9" t="s">
        <v>15</v>
      </c>
    </row>
    <row r="41" spans="1:10" x14ac:dyDescent="0.3">
      <c r="A41" s="21" t="s">
        <v>78</v>
      </c>
      <c r="B41" s="6">
        <v>46254</v>
      </c>
      <c r="C41" s="7" t="s">
        <v>34</v>
      </c>
      <c r="D41" s="7" t="s">
        <v>35</v>
      </c>
      <c r="E41" s="7" t="s">
        <v>28</v>
      </c>
      <c r="F41" s="7" t="s">
        <v>29</v>
      </c>
      <c r="G41" s="7">
        <v>18</v>
      </c>
      <c r="H41" s="16">
        <v>680</v>
      </c>
      <c r="I41" s="8">
        <v>0.05</v>
      </c>
      <c r="J41" s="9" t="s">
        <v>30</v>
      </c>
    </row>
    <row r="42" spans="1:10" x14ac:dyDescent="0.3">
      <c r="A42" s="21" t="s">
        <v>79</v>
      </c>
      <c r="B42" s="6">
        <v>46255</v>
      </c>
      <c r="C42" s="7" t="s">
        <v>17</v>
      </c>
      <c r="D42" s="7" t="s">
        <v>12</v>
      </c>
      <c r="E42" s="7" t="s">
        <v>13</v>
      </c>
      <c r="F42" s="7" t="s">
        <v>14</v>
      </c>
      <c r="G42" s="7">
        <v>3</v>
      </c>
      <c r="H42" s="16">
        <v>23000</v>
      </c>
      <c r="I42" s="8">
        <v>0.08</v>
      </c>
      <c r="J42" s="9" t="s">
        <v>15</v>
      </c>
    </row>
    <row r="43" spans="1:10" x14ac:dyDescent="0.3">
      <c r="A43" s="21" t="s">
        <v>80</v>
      </c>
      <c r="B43" s="6">
        <v>46255</v>
      </c>
      <c r="C43" s="7" t="s">
        <v>22</v>
      </c>
      <c r="D43" s="7" t="s">
        <v>12</v>
      </c>
      <c r="E43" s="7" t="s">
        <v>18</v>
      </c>
      <c r="F43" s="7" t="s">
        <v>19</v>
      </c>
      <c r="G43" s="7">
        <v>9</v>
      </c>
      <c r="H43" s="16">
        <v>2400</v>
      </c>
      <c r="I43" s="8">
        <v>0.1</v>
      </c>
      <c r="J43" s="9" t="s">
        <v>20</v>
      </c>
    </row>
    <row r="44" spans="1:10" x14ac:dyDescent="0.3">
      <c r="A44" s="21" t="s">
        <v>81</v>
      </c>
      <c r="B44" s="6">
        <v>46256</v>
      </c>
      <c r="C44" s="7" t="s">
        <v>48</v>
      </c>
      <c r="D44" s="7" t="s">
        <v>27</v>
      </c>
      <c r="E44" s="7" t="s">
        <v>23</v>
      </c>
      <c r="F44" s="7" t="s">
        <v>24</v>
      </c>
      <c r="G44" s="7">
        <v>4</v>
      </c>
      <c r="H44" s="16">
        <v>3800</v>
      </c>
      <c r="I44" s="8">
        <v>0.15</v>
      </c>
      <c r="J44" s="9" t="s">
        <v>15</v>
      </c>
    </row>
    <row r="45" spans="1:10" x14ac:dyDescent="0.3">
      <c r="A45" s="21" t="s">
        <v>82</v>
      </c>
      <c r="B45" s="6">
        <v>46256</v>
      </c>
      <c r="C45" s="7" t="s">
        <v>52</v>
      </c>
      <c r="D45" s="7" t="s">
        <v>38</v>
      </c>
      <c r="E45" s="7" t="s">
        <v>28</v>
      </c>
      <c r="F45" s="7" t="s">
        <v>29</v>
      </c>
      <c r="G45" s="7">
        <v>2</v>
      </c>
      <c r="H45" s="16">
        <v>3100</v>
      </c>
      <c r="I45" s="8">
        <v>0.05</v>
      </c>
      <c r="J45" s="9" t="s">
        <v>20</v>
      </c>
    </row>
    <row r="46" spans="1:10" x14ac:dyDescent="0.3">
      <c r="A46" s="21" t="s">
        <v>83</v>
      </c>
      <c r="B46" s="6">
        <v>46257</v>
      </c>
      <c r="C46" s="7" t="s">
        <v>11</v>
      </c>
      <c r="D46" s="7" t="s">
        <v>12</v>
      </c>
      <c r="E46" s="7" t="s">
        <v>13</v>
      </c>
      <c r="F46" s="7" t="s">
        <v>14</v>
      </c>
      <c r="G46" s="7">
        <v>1</v>
      </c>
      <c r="H46" s="16">
        <v>65000</v>
      </c>
      <c r="I46" s="8">
        <v>0.1</v>
      </c>
      <c r="J46" s="9" t="s">
        <v>15</v>
      </c>
    </row>
    <row r="47" spans="1:10" x14ac:dyDescent="0.3">
      <c r="A47" s="21" t="s">
        <v>84</v>
      </c>
      <c r="B47" s="6">
        <v>46257</v>
      </c>
      <c r="C47" s="7" t="s">
        <v>26</v>
      </c>
      <c r="D47" s="7" t="s">
        <v>27</v>
      </c>
      <c r="E47" s="7" t="s">
        <v>18</v>
      </c>
      <c r="F47" s="7" t="s">
        <v>19</v>
      </c>
      <c r="G47" s="7">
        <v>12</v>
      </c>
      <c r="H47" s="16">
        <v>800</v>
      </c>
      <c r="I47" s="8">
        <v>0.12</v>
      </c>
      <c r="J47" s="9" t="s">
        <v>30</v>
      </c>
    </row>
    <row r="48" spans="1:10" x14ac:dyDescent="0.3">
      <c r="A48" s="21" t="s">
        <v>85</v>
      </c>
      <c r="B48" s="6">
        <v>46258</v>
      </c>
      <c r="C48" s="7" t="s">
        <v>44</v>
      </c>
      <c r="D48" s="7" t="s">
        <v>12</v>
      </c>
      <c r="E48" s="7" t="s">
        <v>23</v>
      </c>
      <c r="F48" s="7" t="s">
        <v>24</v>
      </c>
      <c r="G48" s="7">
        <v>15</v>
      </c>
      <c r="H48" s="16">
        <v>600</v>
      </c>
      <c r="I48" s="8">
        <v>0.05</v>
      </c>
      <c r="J48" s="9" t="s">
        <v>15</v>
      </c>
    </row>
    <row r="49" spans="1:10" x14ac:dyDescent="0.3">
      <c r="A49" s="21" t="s">
        <v>86</v>
      </c>
      <c r="B49" s="6">
        <v>46258</v>
      </c>
      <c r="C49" s="7" t="s">
        <v>40</v>
      </c>
      <c r="D49" s="7" t="s">
        <v>27</v>
      </c>
      <c r="E49" s="7" t="s">
        <v>28</v>
      </c>
      <c r="F49" s="7" t="s">
        <v>29</v>
      </c>
      <c r="G49" s="7">
        <v>6</v>
      </c>
      <c r="H49" s="16">
        <v>2600</v>
      </c>
      <c r="I49" s="8">
        <v>0.1</v>
      </c>
      <c r="J49" s="9" t="s">
        <v>20</v>
      </c>
    </row>
    <row r="50" spans="1:10" x14ac:dyDescent="0.3">
      <c r="A50" s="21" t="s">
        <v>87</v>
      </c>
      <c r="B50" s="6">
        <v>46259</v>
      </c>
      <c r="C50" s="7" t="s">
        <v>34</v>
      </c>
      <c r="D50" s="7" t="s">
        <v>35</v>
      </c>
      <c r="E50" s="7" t="s">
        <v>13</v>
      </c>
      <c r="F50" s="7" t="s">
        <v>14</v>
      </c>
      <c r="G50" s="7">
        <v>25</v>
      </c>
      <c r="H50" s="16">
        <v>730</v>
      </c>
      <c r="I50" s="8">
        <v>0.05</v>
      </c>
      <c r="J50" s="9" t="s">
        <v>15</v>
      </c>
    </row>
    <row r="51" spans="1:10" ht="15" thickBot="1" x14ac:dyDescent="0.35">
      <c r="A51" s="22" t="s">
        <v>88</v>
      </c>
      <c r="B51" s="11">
        <v>46259</v>
      </c>
      <c r="C51" s="12" t="s">
        <v>55</v>
      </c>
      <c r="D51" s="12" t="s">
        <v>12</v>
      </c>
      <c r="E51" s="12" t="s">
        <v>18</v>
      </c>
      <c r="F51" s="12" t="s">
        <v>19</v>
      </c>
      <c r="G51" s="12">
        <v>2</v>
      </c>
      <c r="H51" s="17">
        <v>13000</v>
      </c>
      <c r="I51" s="13">
        <v>0.08</v>
      </c>
      <c r="J51" s="14" t="s">
        <v>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56365-A852-4AEC-86D4-5524A9DF1B19}">
  <dimension ref="A1:J51"/>
  <sheetViews>
    <sheetView topLeftCell="A11" workbookViewId="0">
      <selection activeCell="Q37" sqref="Q37"/>
    </sheetView>
  </sheetViews>
  <sheetFormatPr defaultRowHeight="14.4" x14ac:dyDescent="0.3"/>
  <cols>
    <col min="1" max="1" width="7.6640625" bestFit="1" customWidth="1"/>
    <col min="2" max="2" width="10.33203125" bestFit="1" customWidth="1"/>
    <col min="3" max="3" width="11.109375" bestFit="1" customWidth="1"/>
    <col min="4" max="4" width="9.88671875" bestFit="1" customWidth="1"/>
    <col min="5" max="5" width="6.77734375" bestFit="1" customWidth="1"/>
    <col min="6" max="6" width="11" bestFit="1" customWidth="1"/>
    <col min="7" max="7" width="8.33203125" bestFit="1" customWidth="1"/>
    <col min="8" max="8" width="11.33203125" bestFit="1" customWidth="1"/>
    <col min="9" max="9" width="8.33203125" bestFit="1" customWidth="1"/>
    <col min="10" max="10" width="8.5546875" bestFit="1" customWidth="1"/>
  </cols>
  <sheetData>
    <row r="1" spans="1:10" x14ac:dyDescent="0.3">
      <c r="A1" s="20" t="s">
        <v>0</v>
      </c>
      <c r="B1" s="19" t="s">
        <v>1</v>
      </c>
      <c r="C1" s="3" t="s">
        <v>2</v>
      </c>
      <c r="D1" s="3" t="s">
        <v>3</v>
      </c>
      <c r="E1" s="3" t="s">
        <v>4</v>
      </c>
      <c r="F1" s="3" t="s">
        <v>5</v>
      </c>
      <c r="G1" s="3" t="s">
        <v>6</v>
      </c>
      <c r="H1" s="15" t="s">
        <v>7</v>
      </c>
      <c r="I1" s="3" t="s">
        <v>8</v>
      </c>
      <c r="J1" s="4" t="s">
        <v>9</v>
      </c>
    </row>
    <row r="2" spans="1:10" x14ac:dyDescent="0.3">
      <c r="A2" s="21" t="s">
        <v>10</v>
      </c>
      <c r="B2" s="6">
        <v>46235</v>
      </c>
      <c r="C2" s="7" t="s">
        <v>11</v>
      </c>
      <c r="D2" s="7" t="s">
        <v>12</v>
      </c>
      <c r="E2" s="7" t="s">
        <v>13</v>
      </c>
      <c r="F2" s="7" t="s">
        <v>14</v>
      </c>
      <c r="G2" s="7">
        <v>2</v>
      </c>
      <c r="H2" s="16">
        <v>55000</v>
      </c>
      <c r="I2" s="8">
        <v>0.05</v>
      </c>
      <c r="J2" s="9" t="s">
        <v>15</v>
      </c>
    </row>
    <row r="3" spans="1:10" x14ac:dyDescent="0.3">
      <c r="A3" s="21" t="s">
        <v>16</v>
      </c>
      <c r="B3" s="6">
        <v>46235</v>
      </c>
      <c r="C3" s="7" t="s">
        <v>17</v>
      </c>
      <c r="D3" s="7" t="s">
        <v>12</v>
      </c>
      <c r="E3" s="7" t="s">
        <v>18</v>
      </c>
      <c r="F3" s="7" t="s">
        <v>19</v>
      </c>
      <c r="G3" s="7">
        <v>3</v>
      </c>
      <c r="H3" s="16">
        <v>22000</v>
      </c>
      <c r="I3" s="8">
        <v>0.1</v>
      </c>
      <c r="J3" s="9" t="s">
        <v>20</v>
      </c>
    </row>
    <row r="4" spans="1:10" x14ac:dyDescent="0.3">
      <c r="A4" s="21" t="s">
        <v>21</v>
      </c>
      <c r="B4" s="6">
        <v>46236</v>
      </c>
      <c r="C4" s="7" t="s">
        <v>22</v>
      </c>
      <c r="D4" s="7" t="s">
        <v>12</v>
      </c>
      <c r="E4" s="7" t="s">
        <v>23</v>
      </c>
      <c r="F4" s="7" t="s">
        <v>24</v>
      </c>
      <c r="G4" s="7">
        <v>5</v>
      </c>
      <c r="H4" s="16">
        <v>2500</v>
      </c>
      <c r="I4" s="8">
        <v>0.05</v>
      </c>
      <c r="J4" s="9" t="s">
        <v>15</v>
      </c>
    </row>
    <row r="5" spans="1:10" x14ac:dyDescent="0.3">
      <c r="A5" s="21" t="s">
        <v>25</v>
      </c>
      <c r="B5" s="6">
        <v>46236</v>
      </c>
      <c r="C5" s="7" t="s">
        <v>26</v>
      </c>
      <c r="D5" s="7" t="s">
        <v>27</v>
      </c>
      <c r="E5" s="7" t="s">
        <v>28</v>
      </c>
      <c r="F5" s="7" t="s">
        <v>29</v>
      </c>
      <c r="G5" s="7">
        <v>6</v>
      </c>
      <c r="H5" s="16">
        <v>900</v>
      </c>
      <c r="I5" s="8">
        <v>0.15</v>
      </c>
      <c r="J5" s="9" t="s">
        <v>30</v>
      </c>
    </row>
    <row r="6" spans="1:10" x14ac:dyDescent="0.3">
      <c r="A6" s="21" t="s">
        <v>31</v>
      </c>
      <c r="B6" s="6">
        <v>46237</v>
      </c>
      <c r="C6" s="7" t="s">
        <v>32</v>
      </c>
      <c r="D6" s="7" t="s">
        <v>27</v>
      </c>
      <c r="E6" s="7" t="s">
        <v>13</v>
      </c>
      <c r="F6" s="7" t="s">
        <v>14</v>
      </c>
      <c r="G6" s="7">
        <v>4</v>
      </c>
      <c r="H6" s="16">
        <v>1800</v>
      </c>
      <c r="I6" s="8">
        <v>0.1</v>
      </c>
      <c r="J6" s="9" t="s">
        <v>20</v>
      </c>
    </row>
    <row r="7" spans="1:10" x14ac:dyDescent="0.3">
      <c r="A7" s="21" t="s">
        <v>33</v>
      </c>
      <c r="B7" s="6">
        <v>46237</v>
      </c>
      <c r="C7" s="7" t="s">
        <v>34</v>
      </c>
      <c r="D7" s="7" t="s">
        <v>35</v>
      </c>
      <c r="E7" s="7" t="s">
        <v>18</v>
      </c>
      <c r="F7" s="7" t="s">
        <v>19</v>
      </c>
      <c r="G7" s="7">
        <v>10</v>
      </c>
      <c r="H7" s="16">
        <v>750</v>
      </c>
      <c r="I7" s="8">
        <v>0.05</v>
      </c>
      <c r="J7" s="9" t="s">
        <v>15</v>
      </c>
    </row>
    <row r="8" spans="1:10" x14ac:dyDescent="0.3">
      <c r="A8" s="21" t="s">
        <v>36</v>
      </c>
      <c r="B8" s="6">
        <v>46238</v>
      </c>
      <c r="C8" s="7" t="s">
        <v>37</v>
      </c>
      <c r="D8" s="7" t="s">
        <v>38</v>
      </c>
      <c r="E8" s="7" t="s">
        <v>23</v>
      </c>
      <c r="F8" s="7" t="s">
        <v>24</v>
      </c>
      <c r="G8" s="7">
        <v>2</v>
      </c>
      <c r="H8" s="16">
        <v>3200</v>
      </c>
      <c r="I8" s="8">
        <v>0.08</v>
      </c>
      <c r="J8" s="9" t="s">
        <v>20</v>
      </c>
    </row>
    <row r="9" spans="1:10" x14ac:dyDescent="0.3">
      <c r="A9" s="21" t="s">
        <v>39</v>
      </c>
      <c r="B9" s="6">
        <v>46238</v>
      </c>
      <c r="C9" s="7" t="s">
        <v>40</v>
      </c>
      <c r="D9" s="7" t="s">
        <v>27</v>
      </c>
      <c r="E9" s="7" t="s">
        <v>28</v>
      </c>
      <c r="F9" s="7" t="s">
        <v>29</v>
      </c>
      <c r="G9" s="7">
        <v>3</v>
      </c>
      <c r="H9" s="16">
        <v>2500</v>
      </c>
      <c r="I9" s="8">
        <v>0.12</v>
      </c>
      <c r="J9" s="9" t="s">
        <v>15</v>
      </c>
    </row>
    <row r="10" spans="1:10" x14ac:dyDescent="0.3">
      <c r="A10" s="21" t="s">
        <v>41</v>
      </c>
      <c r="B10" s="6">
        <v>46239</v>
      </c>
      <c r="C10" s="7" t="s">
        <v>42</v>
      </c>
      <c r="D10" s="7" t="s">
        <v>12</v>
      </c>
      <c r="E10" s="7" t="s">
        <v>13</v>
      </c>
      <c r="F10" s="7" t="s">
        <v>14</v>
      </c>
      <c r="G10" s="7">
        <v>5</v>
      </c>
      <c r="H10" s="16">
        <v>1500</v>
      </c>
      <c r="I10" s="8">
        <v>0.05</v>
      </c>
      <c r="J10" s="9" t="s">
        <v>30</v>
      </c>
    </row>
    <row r="11" spans="1:10" x14ac:dyDescent="0.3">
      <c r="A11" s="21" t="s">
        <v>43</v>
      </c>
      <c r="B11" s="6">
        <v>46239</v>
      </c>
      <c r="C11" s="7" t="s">
        <v>44</v>
      </c>
      <c r="D11" s="7" t="s">
        <v>12</v>
      </c>
      <c r="E11" s="7" t="s">
        <v>18</v>
      </c>
      <c r="F11" s="7" t="s">
        <v>19</v>
      </c>
      <c r="G11" s="7">
        <v>8</v>
      </c>
      <c r="H11" s="16">
        <v>700</v>
      </c>
      <c r="I11" s="8">
        <v>0.1</v>
      </c>
      <c r="J11" s="9" t="s">
        <v>15</v>
      </c>
    </row>
    <row r="12" spans="1:10" x14ac:dyDescent="0.3">
      <c r="A12" s="21" t="s">
        <v>45</v>
      </c>
      <c r="B12" s="6">
        <v>46240</v>
      </c>
      <c r="C12" s="7" t="s">
        <v>11</v>
      </c>
      <c r="D12" s="7" t="s">
        <v>12</v>
      </c>
      <c r="E12" s="7" t="s">
        <v>23</v>
      </c>
      <c r="F12" s="7" t="s">
        <v>24</v>
      </c>
      <c r="G12" s="7">
        <v>1</v>
      </c>
      <c r="H12" s="16">
        <v>62000</v>
      </c>
      <c r="I12" s="8">
        <v>7.0000000000000007E-2</v>
      </c>
      <c r="J12" s="9" t="s">
        <v>20</v>
      </c>
    </row>
    <row r="13" spans="1:10" x14ac:dyDescent="0.3">
      <c r="A13" s="21" t="s">
        <v>46</v>
      </c>
      <c r="B13" s="6">
        <v>46240</v>
      </c>
      <c r="C13" s="7" t="s">
        <v>17</v>
      </c>
      <c r="D13" s="7" t="s">
        <v>12</v>
      </c>
      <c r="E13" s="7" t="s">
        <v>28</v>
      </c>
      <c r="F13" s="7" t="s">
        <v>29</v>
      </c>
      <c r="G13" s="7">
        <v>4</v>
      </c>
      <c r="H13" s="16">
        <v>18000</v>
      </c>
      <c r="I13" s="8">
        <v>0.05</v>
      </c>
      <c r="J13" s="9" t="s">
        <v>15</v>
      </c>
    </row>
    <row r="14" spans="1:10" x14ac:dyDescent="0.3">
      <c r="A14" s="21" t="s">
        <v>47</v>
      </c>
      <c r="B14" s="6">
        <v>46241</v>
      </c>
      <c r="C14" s="7" t="s">
        <v>48</v>
      </c>
      <c r="D14" s="7" t="s">
        <v>27</v>
      </c>
      <c r="E14" s="7" t="s">
        <v>13</v>
      </c>
      <c r="F14" s="7" t="s">
        <v>14</v>
      </c>
      <c r="G14" s="7">
        <v>2</v>
      </c>
      <c r="H14" s="16">
        <v>3500</v>
      </c>
      <c r="I14" s="8">
        <v>0.1</v>
      </c>
      <c r="J14" s="9" t="s">
        <v>30</v>
      </c>
    </row>
    <row r="15" spans="1:10" x14ac:dyDescent="0.3">
      <c r="A15" s="21" t="s">
        <v>49</v>
      </c>
      <c r="B15" s="6">
        <v>46241</v>
      </c>
      <c r="C15" s="7" t="s">
        <v>50</v>
      </c>
      <c r="D15" s="7" t="s">
        <v>35</v>
      </c>
      <c r="E15" s="7" t="s">
        <v>18</v>
      </c>
      <c r="F15" s="7" t="s">
        <v>19</v>
      </c>
      <c r="G15" s="7">
        <v>12</v>
      </c>
      <c r="H15" s="16">
        <v>160</v>
      </c>
      <c r="I15" s="8">
        <v>0.05</v>
      </c>
      <c r="J15" s="9" t="s">
        <v>15</v>
      </c>
    </row>
    <row r="16" spans="1:10" x14ac:dyDescent="0.3">
      <c r="A16" s="21" t="s">
        <v>51</v>
      </c>
      <c r="B16" s="6">
        <v>46242</v>
      </c>
      <c r="C16" s="7" t="s">
        <v>52</v>
      </c>
      <c r="D16" s="7" t="s">
        <v>38</v>
      </c>
      <c r="E16" s="7" t="s">
        <v>23</v>
      </c>
      <c r="F16" s="7" t="s">
        <v>24</v>
      </c>
      <c r="G16" s="7">
        <v>3</v>
      </c>
      <c r="H16" s="16">
        <v>2800</v>
      </c>
      <c r="I16" s="8">
        <v>0.08</v>
      </c>
      <c r="J16" s="9" t="s">
        <v>20</v>
      </c>
    </row>
    <row r="17" spans="1:10" x14ac:dyDescent="0.3">
      <c r="A17" s="21" t="s">
        <v>53</v>
      </c>
      <c r="B17" s="6">
        <v>46242</v>
      </c>
      <c r="C17" s="7" t="s">
        <v>40</v>
      </c>
      <c r="D17" s="7" t="s">
        <v>27</v>
      </c>
      <c r="E17" s="7" t="s">
        <v>28</v>
      </c>
      <c r="F17" s="7" t="s">
        <v>29</v>
      </c>
      <c r="G17" s="7">
        <v>5</v>
      </c>
      <c r="H17" s="16">
        <v>2200</v>
      </c>
      <c r="I17" s="8">
        <v>0.15</v>
      </c>
      <c r="J17" s="9" t="s">
        <v>15</v>
      </c>
    </row>
    <row r="18" spans="1:10" x14ac:dyDescent="0.3">
      <c r="A18" s="21" t="s">
        <v>54</v>
      </c>
      <c r="B18" s="6">
        <v>46243</v>
      </c>
      <c r="C18" s="7" t="s">
        <v>55</v>
      </c>
      <c r="D18" s="7" t="s">
        <v>12</v>
      </c>
      <c r="E18" s="7" t="s">
        <v>13</v>
      </c>
      <c r="F18" s="7" t="s">
        <v>14</v>
      </c>
      <c r="G18" s="7">
        <v>2</v>
      </c>
      <c r="H18" s="16">
        <v>12500</v>
      </c>
      <c r="I18" s="8">
        <v>0.1</v>
      </c>
      <c r="J18" s="9" t="s">
        <v>20</v>
      </c>
    </row>
    <row r="19" spans="1:10" x14ac:dyDescent="0.3">
      <c r="A19" s="21" t="s">
        <v>56</v>
      </c>
      <c r="B19" s="6">
        <v>46243</v>
      </c>
      <c r="C19" s="7" t="s">
        <v>42</v>
      </c>
      <c r="D19" s="7" t="s">
        <v>12</v>
      </c>
      <c r="E19" s="7" t="s">
        <v>18</v>
      </c>
      <c r="F19" s="7" t="s">
        <v>19</v>
      </c>
      <c r="G19" s="7">
        <v>7</v>
      </c>
      <c r="H19" s="16">
        <v>1700</v>
      </c>
      <c r="I19" s="8">
        <v>0.05</v>
      </c>
      <c r="J19" s="9" t="s">
        <v>30</v>
      </c>
    </row>
    <row r="20" spans="1:10" x14ac:dyDescent="0.3">
      <c r="A20" s="21" t="s">
        <v>57</v>
      </c>
      <c r="B20" s="6">
        <v>46244</v>
      </c>
      <c r="C20" s="7" t="s">
        <v>26</v>
      </c>
      <c r="D20" s="7" t="s">
        <v>27</v>
      </c>
      <c r="E20" s="7" t="s">
        <v>23</v>
      </c>
      <c r="F20" s="7" t="s">
        <v>24</v>
      </c>
      <c r="G20" s="7">
        <v>8</v>
      </c>
      <c r="H20" s="16">
        <v>850</v>
      </c>
      <c r="I20" s="8">
        <v>0.1</v>
      </c>
      <c r="J20" s="9" t="s">
        <v>15</v>
      </c>
    </row>
    <row r="21" spans="1:10" x14ac:dyDescent="0.3">
      <c r="A21" s="21" t="s">
        <v>58</v>
      </c>
      <c r="B21" s="6">
        <v>46244</v>
      </c>
      <c r="C21" s="7" t="s">
        <v>34</v>
      </c>
      <c r="D21" s="7" t="s">
        <v>35</v>
      </c>
      <c r="E21" s="7" t="s">
        <v>28</v>
      </c>
      <c r="F21" s="7" t="s">
        <v>29</v>
      </c>
      <c r="G21" s="7">
        <v>15</v>
      </c>
      <c r="H21" s="16">
        <v>720</v>
      </c>
      <c r="I21" s="8">
        <v>0.05</v>
      </c>
      <c r="J21" s="9" t="s">
        <v>20</v>
      </c>
    </row>
    <row r="22" spans="1:10" x14ac:dyDescent="0.3">
      <c r="A22" s="21" t="s">
        <v>59</v>
      </c>
      <c r="B22" s="6">
        <v>46245</v>
      </c>
      <c r="C22" s="7" t="s">
        <v>17</v>
      </c>
      <c r="D22" s="7" t="s">
        <v>12</v>
      </c>
      <c r="E22" s="7" t="s">
        <v>13</v>
      </c>
      <c r="F22" s="7" t="s">
        <v>14</v>
      </c>
      <c r="G22" s="7">
        <v>2</v>
      </c>
      <c r="H22" s="16">
        <v>24000</v>
      </c>
      <c r="I22" s="8">
        <v>0.08</v>
      </c>
      <c r="J22" s="9" t="s">
        <v>15</v>
      </c>
    </row>
    <row r="23" spans="1:10" x14ac:dyDescent="0.3">
      <c r="A23" s="21" t="s">
        <v>60</v>
      </c>
      <c r="B23" s="6">
        <v>46245</v>
      </c>
      <c r="C23" s="7" t="s">
        <v>11</v>
      </c>
      <c r="D23" s="7" t="s">
        <v>12</v>
      </c>
      <c r="E23" s="7" t="s">
        <v>18</v>
      </c>
      <c r="F23" s="7" t="s">
        <v>19</v>
      </c>
      <c r="G23" s="7">
        <v>1</v>
      </c>
      <c r="H23" s="16">
        <v>58000</v>
      </c>
      <c r="I23" s="8">
        <v>0.05</v>
      </c>
      <c r="J23" s="9" t="s">
        <v>20</v>
      </c>
    </row>
    <row r="24" spans="1:10" x14ac:dyDescent="0.3">
      <c r="A24" s="21" t="s">
        <v>61</v>
      </c>
      <c r="B24" s="6">
        <v>46246</v>
      </c>
      <c r="C24" s="7" t="s">
        <v>32</v>
      </c>
      <c r="D24" s="7" t="s">
        <v>27</v>
      </c>
      <c r="E24" s="7" t="s">
        <v>23</v>
      </c>
      <c r="F24" s="7" t="s">
        <v>24</v>
      </c>
      <c r="G24" s="7">
        <v>6</v>
      </c>
      <c r="H24" s="16">
        <v>1600</v>
      </c>
      <c r="I24" s="8">
        <v>0.12</v>
      </c>
      <c r="J24" s="9" t="s">
        <v>30</v>
      </c>
    </row>
    <row r="25" spans="1:10" x14ac:dyDescent="0.3">
      <c r="A25" s="21" t="s">
        <v>62</v>
      </c>
      <c r="B25" s="6">
        <v>46246</v>
      </c>
      <c r="C25" s="7" t="s">
        <v>37</v>
      </c>
      <c r="D25" s="6" t="s">
        <v>38</v>
      </c>
      <c r="E25" s="7" t="s">
        <v>28</v>
      </c>
      <c r="F25" s="7" t="s">
        <v>29</v>
      </c>
      <c r="G25" s="7">
        <v>2</v>
      </c>
      <c r="H25" s="16">
        <v>3500</v>
      </c>
      <c r="I25" s="8">
        <v>0.1</v>
      </c>
      <c r="J25" s="9" t="s">
        <v>15</v>
      </c>
    </row>
    <row r="26" spans="1:10" x14ac:dyDescent="0.3">
      <c r="A26" s="21" t="s">
        <v>63</v>
      </c>
      <c r="B26" s="6">
        <v>46247</v>
      </c>
      <c r="C26" s="7" t="s">
        <v>22</v>
      </c>
      <c r="D26" s="7" t="s">
        <v>12</v>
      </c>
      <c r="E26" s="7" t="s">
        <v>13</v>
      </c>
      <c r="F26" s="7" t="s">
        <v>14</v>
      </c>
      <c r="G26" s="7">
        <v>10</v>
      </c>
      <c r="H26" s="16">
        <v>2200</v>
      </c>
      <c r="I26" s="8">
        <v>0.05</v>
      </c>
      <c r="J26" s="9" t="s">
        <v>20</v>
      </c>
    </row>
    <row r="27" spans="1:10" x14ac:dyDescent="0.3">
      <c r="A27" s="21" t="s">
        <v>64</v>
      </c>
      <c r="B27" s="6">
        <v>46247</v>
      </c>
      <c r="C27" s="7" t="s">
        <v>40</v>
      </c>
      <c r="D27" s="7" t="s">
        <v>27</v>
      </c>
      <c r="E27" s="7" t="s">
        <v>18</v>
      </c>
      <c r="F27" s="7" t="s">
        <v>19</v>
      </c>
      <c r="G27" s="7">
        <v>4</v>
      </c>
      <c r="H27" s="16">
        <v>2800</v>
      </c>
      <c r="I27" s="8">
        <v>0.15</v>
      </c>
      <c r="J27" s="9" t="s">
        <v>15</v>
      </c>
    </row>
    <row r="28" spans="1:10" x14ac:dyDescent="0.3">
      <c r="A28" s="21" t="s">
        <v>65</v>
      </c>
      <c r="B28" s="6">
        <v>46248</v>
      </c>
      <c r="C28" s="7" t="s">
        <v>44</v>
      </c>
      <c r="D28" s="7" t="s">
        <v>12</v>
      </c>
      <c r="E28" s="7" t="s">
        <v>23</v>
      </c>
      <c r="F28" s="7" t="s">
        <v>24</v>
      </c>
      <c r="G28" s="7">
        <v>12</v>
      </c>
      <c r="H28" s="16">
        <v>650</v>
      </c>
      <c r="I28" s="8">
        <v>0.05</v>
      </c>
      <c r="J28" s="9" t="s">
        <v>30</v>
      </c>
    </row>
    <row r="29" spans="1:10" x14ac:dyDescent="0.3">
      <c r="A29" s="21" t="s">
        <v>66</v>
      </c>
      <c r="B29" s="6">
        <v>46248</v>
      </c>
      <c r="C29" s="7" t="s">
        <v>48</v>
      </c>
      <c r="D29" s="7" t="s">
        <v>27</v>
      </c>
      <c r="E29" s="7" t="s">
        <v>28</v>
      </c>
      <c r="F29" s="7" t="s">
        <v>29</v>
      </c>
      <c r="G29" s="7">
        <v>3</v>
      </c>
      <c r="H29" s="16">
        <v>4200</v>
      </c>
      <c r="I29" s="8">
        <v>0.1</v>
      </c>
      <c r="J29" s="9" t="s">
        <v>20</v>
      </c>
    </row>
    <row r="30" spans="1:10" x14ac:dyDescent="0.3">
      <c r="A30" s="21" t="s">
        <v>67</v>
      </c>
      <c r="B30" s="6">
        <v>46249</v>
      </c>
      <c r="C30" s="7" t="s">
        <v>34</v>
      </c>
      <c r="D30" s="7" t="s">
        <v>35</v>
      </c>
      <c r="E30" s="7" t="s">
        <v>13</v>
      </c>
      <c r="F30" s="7" t="s">
        <v>14</v>
      </c>
      <c r="G30" s="7">
        <v>20</v>
      </c>
      <c r="H30" s="16">
        <v>700</v>
      </c>
      <c r="I30" s="8">
        <v>0.05</v>
      </c>
      <c r="J30" s="9" t="s">
        <v>15</v>
      </c>
    </row>
    <row r="31" spans="1:10" x14ac:dyDescent="0.3">
      <c r="A31" s="21" t="s">
        <v>68</v>
      </c>
      <c r="B31" s="6">
        <v>46249</v>
      </c>
      <c r="C31" s="7" t="s">
        <v>52</v>
      </c>
      <c r="D31" s="7" t="s">
        <v>38</v>
      </c>
      <c r="E31" s="7" t="s">
        <v>18</v>
      </c>
      <c r="F31" s="7" t="s">
        <v>19</v>
      </c>
      <c r="G31" s="7">
        <v>4</v>
      </c>
      <c r="H31" s="16">
        <v>3000</v>
      </c>
      <c r="I31" s="8">
        <v>0.08</v>
      </c>
      <c r="J31" s="9" t="s">
        <v>20</v>
      </c>
    </row>
    <row r="32" spans="1:10" x14ac:dyDescent="0.3">
      <c r="A32" s="21" t="s">
        <v>69</v>
      </c>
      <c r="B32" s="6">
        <v>46250</v>
      </c>
      <c r="C32" s="7" t="s">
        <v>55</v>
      </c>
      <c r="D32" s="7" t="s">
        <v>12</v>
      </c>
      <c r="E32" s="7" t="s">
        <v>23</v>
      </c>
      <c r="F32" s="7" t="s">
        <v>24</v>
      </c>
      <c r="G32" s="7">
        <v>3</v>
      </c>
      <c r="H32" s="16">
        <v>11500</v>
      </c>
      <c r="I32" s="8">
        <v>0.1</v>
      </c>
      <c r="J32" s="9" t="s">
        <v>15</v>
      </c>
    </row>
    <row r="33" spans="1:10" x14ac:dyDescent="0.3">
      <c r="A33" s="21" t="s">
        <v>70</v>
      </c>
      <c r="B33" s="6">
        <v>46250</v>
      </c>
      <c r="C33" s="7" t="s">
        <v>26</v>
      </c>
      <c r="D33" s="7" t="s">
        <v>27</v>
      </c>
      <c r="E33" s="7" t="s">
        <v>28</v>
      </c>
      <c r="F33" s="7" t="s">
        <v>29</v>
      </c>
      <c r="G33" s="7">
        <v>10</v>
      </c>
      <c r="H33" s="16">
        <v>950</v>
      </c>
      <c r="I33" s="8">
        <v>0.15</v>
      </c>
      <c r="J33" s="9" t="s">
        <v>30</v>
      </c>
    </row>
    <row r="34" spans="1:10" x14ac:dyDescent="0.3">
      <c r="A34" s="21" t="s">
        <v>71</v>
      </c>
      <c r="B34" s="6">
        <v>46251</v>
      </c>
      <c r="C34" s="7" t="s">
        <v>17</v>
      </c>
      <c r="D34" s="7" t="s">
        <v>12</v>
      </c>
      <c r="E34" s="7" t="s">
        <v>13</v>
      </c>
      <c r="F34" s="7" t="s">
        <v>14</v>
      </c>
      <c r="G34" s="7">
        <v>5</v>
      </c>
      <c r="H34" s="16">
        <v>21000</v>
      </c>
      <c r="I34" s="8">
        <v>7.0000000000000007E-2</v>
      </c>
      <c r="J34" s="9" t="s">
        <v>20</v>
      </c>
    </row>
    <row r="35" spans="1:10" x14ac:dyDescent="0.3">
      <c r="A35" s="21" t="s">
        <v>72</v>
      </c>
      <c r="B35" s="6">
        <v>46251</v>
      </c>
      <c r="C35" s="7" t="s">
        <v>50</v>
      </c>
      <c r="D35" s="7" t="s">
        <v>35</v>
      </c>
      <c r="E35" s="7" t="s">
        <v>18</v>
      </c>
      <c r="F35" s="7" t="s">
        <v>19</v>
      </c>
      <c r="G35" s="7">
        <v>20</v>
      </c>
      <c r="H35" s="16">
        <v>155</v>
      </c>
      <c r="I35" s="8">
        <v>0.05</v>
      </c>
      <c r="J35" s="9" t="s">
        <v>15</v>
      </c>
    </row>
    <row r="36" spans="1:10" x14ac:dyDescent="0.3">
      <c r="A36" s="21" t="s">
        <v>73</v>
      </c>
      <c r="B36" s="6">
        <v>46252</v>
      </c>
      <c r="C36" s="7" t="s">
        <v>11</v>
      </c>
      <c r="D36" s="7" t="s">
        <v>12</v>
      </c>
      <c r="E36" s="7" t="s">
        <v>23</v>
      </c>
      <c r="F36" s="7" t="s">
        <v>24</v>
      </c>
      <c r="G36" s="7">
        <v>2</v>
      </c>
      <c r="H36" s="16">
        <v>60000</v>
      </c>
      <c r="I36" s="8">
        <v>0.1</v>
      </c>
      <c r="J36" s="9" t="s">
        <v>20</v>
      </c>
    </row>
    <row r="37" spans="1:10" x14ac:dyDescent="0.3">
      <c r="A37" s="21" t="s">
        <v>74</v>
      </c>
      <c r="B37" s="6">
        <v>46252</v>
      </c>
      <c r="C37" s="7" t="s">
        <v>32</v>
      </c>
      <c r="D37" s="7" t="s">
        <v>27</v>
      </c>
      <c r="E37" s="7" t="s">
        <v>28</v>
      </c>
      <c r="F37" s="7" t="s">
        <v>29</v>
      </c>
      <c r="G37" s="7">
        <v>5</v>
      </c>
      <c r="H37" s="16">
        <v>1900</v>
      </c>
      <c r="I37" s="8">
        <v>0.12</v>
      </c>
      <c r="J37" s="9" t="s">
        <v>15</v>
      </c>
    </row>
    <row r="38" spans="1:10" x14ac:dyDescent="0.3">
      <c r="A38" s="21" t="s">
        <v>75</v>
      </c>
      <c r="B38" s="6">
        <v>46253</v>
      </c>
      <c r="C38" s="7" t="s">
        <v>42</v>
      </c>
      <c r="D38" s="7" t="s">
        <v>12</v>
      </c>
      <c r="E38" s="7" t="s">
        <v>13</v>
      </c>
      <c r="F38" s="7" t="s">
        <v>14</v>
      </c>
      <c r="G38" s="7">
        <v>6</v>
      </c>
      <c r="H38" s="16">
        <v>1600</v>
      </c>
      <c r="I38" s="8">
        <v>0.05</v>
      </c>
      <c r="J38" s="9" t="s">
        <v>30</v>
      </c>
    </row>
    <row r="39" spans="1:10" x14ac:dyDescent="0.3">
      <c r="A39" s="21" t="s">
        <v>76</v>
      </c>
      <c r="B39" s="6">
        <v>46253</v>
      </c>
      <c r="C39" s="7" t="s">
        <v>37</v>
      </c>
      <c r="D39" s="7" t="s">
        <v>38</v>
      </c>
      <c r="E39" s="7" t="s">
        <v>18</v>
      </c>
      <c r="F39" s="7" t="s">
        <v>19</v>
      </c>
      <c r="G39" s="7">
        <v>3</v>
      </c>
      <c r="H39" s="16">
        <v>3300</v>
      </c>
      <c r="I39" s="8">
        <v>0.08</v>
      </c>
      <c r="J39" s="9" t="s">
        <v>20</v>
      </c>
    </row>
    <row r="40" spans="1:10" x14ac:dyDescent="0.3">
      <c r="A40" s="21" t="s">
        <v>77</v>
      </c>
      <c r="B40" s="6">
        <v>46254</v>
      </c>
      <c r="C40" s="7" t="s">
        <v>40</v>
      </c>
      <c r="D40" s="7" t="s">
        <v>27</v>
      </c>
      <c r="E40" s="7" t="s">
        <v>23</v>
      </c>
      <c r="F40" s="7" t="s">
        <v>24</v>
      </c>
      <c r="G40" s="7">
        <v>7</v>
      </c>
      <c r="H40" s="16">
        <v>2400</v>
      </c>
      <c r="I40" s="8">
        <v>0.1</v>
      </c>
      <c r="J40" s="9" t="s">
        <v>15</v>
      </c>
    </row>
    <row r="41" spans="1:10" x14ac:dyDescent="0.3">
      <c r="A41" s="21" t="s">
        <v>78</v>
      </c>
      <c r="B41" s="6">
        <v>46254</v>
      </c>
      <c r="C41" s="7" t="s">
        <v>34</v>
      </c>
      <c r="D41" s="7" t="s">
        <v>35</v>
      </c>
      <c r="E41" s="7" t="s">
        <v>28</v>
      </c>
      <c r="F41" s="7" t="s">
        <v>29</v>
      </c>
      <c r="G41" s="7">
        <v>18</v>
      </c>
      <c r="H41" s="16">
        <v>680</v>
      </c>
      <c r="I41" s="8">
        <v>0.05</v>
      </c>
      <c r="J41" s="9" t="s">
        <v>30</v>
      </c>
    </row>
    <row r="42" spans="1:10" x14ac:dyDescent="0.3">
      <c r="A42" s="21" t="s">
        <v>79</v>
      </c>
      <c r="B42" s="6">
        <v>46255</v>
      </c>
      <c r="C42" s="7" t="s">
        <v>17</v>
      </c>
      <c r="D42" s="7" t="s">
        <v>12</v>
      </c>
      <c r="E42" s="7" t="s">
        <v>13</v>
      </c>
      <c r="F42" s="7" t="s">
        <v>14</v>
      </c>
      <c r="G42" s="7">
        <v>3</v>
      </c>
      <c r="H42" s="16">
        <v>23000</v>
      </c>
      <c r="I42" s="8">
        <v>0.08</v>
      </c>
      <c r="J42" s="9" t="s">
        <v>15</v>
      </c>
    </row>
    <row r="43" spans="1:10" x14ac:dyDescent="0.3">
      <c r="A43" s="21" t="s">
        <v>80</v>
      </c>
      <c r="B43" s="6">
        <v>46255</v>
      </c>
      <c r="C43" s="7" t="s">
        <v>22</v>
      </c>
      <c r="D43" s="7" t="s">
        <v>12</v>
      </c>
      <c r="E43" s="7" t="s">
        <v>18</v>
      </c>
      <c r="F43" s="7" t="s">
        <v>19</v>
      </c>
      <c r="G43" s="7">
        <v>9</v>
      </c>
      <c r="H43" s="16">
        <v>2400</v>
      </c>
      <c r="I43" s="8">
        <v>0.1</v>
      </c>
      <c r="J43" s="9" t="s">
        <v>20</v>
      </c>
    </row>
    <row r="44" spans="1:10" x14ac:dyDescent="0.3">
      <c r="A44" s="21" t="s">
        <v>81</v>
      </c>
      <c r="B44" s="6">
        <v>46256</v>
      </c>
      <c r="C44" s="7" t="s">
        <v>48</v>
      </c>
      <c r="D44" s="7" t="s">
        <v>27</v>
      </c>
      <c r="E44" s="7" t="s">
        <v>23</v>
      </c>
      <c r="F44" s="7" t="s">
        <v>24</v>
      </c>
      <c r="G44" s="7">
        <v>4</v>
      </c>
      <c r="H44" s="16">
        <v>3800</v>
      </c>
      <c r="I44" s="8">
        <v>0.15</v>
      </c>
      <c r="J44" s="9" t="s">
        <v>15</v>
      </c>
    </row>
    <row r="45" spans="1:10" x14ac:dyDescent="0.3">
      <c r="A45" s="21" t="s">
        <v>82</v>
      </c>
      <c r="B45" s="6">
        <v>46256</v>
      </c>
      <c r="C45" s="7" t="s">
        <v>52</v>
      </c>
      <c r="D45" s="7" t="s">
        <v>38</v>
      </c>
      <c r="E45" s="7" t="s">
        <v>28</v>
      </c>
      <c r="F45" s="7" t="s">
        <v>29</v>
      </c>
      <c r="G45" s="7">
        <v>2</v>
      </c>
      <c r="H45" s="16">
        <v>3100</v>
      </c>
      <c r="I45" s="8">
        <v>0.05</v>
      </c>
      <c r="J45" s="9" t="s">
        <v>20</v>
      </c>
    </row>
    <row r="46" spans="1:10" x14ac:dyDescent="0.3">
      <c r="A46" s="21" t="s">
        <v>83</v>
      </c>
      <c r="B46" s="6">
        <v>46257</v>
      </c>
      <c r="C46" s="7" t="s">
        <v>11</v>
      </c>
      <c r="D46" s="7" t="s">
        <v>12</v>
      </c>
      <c r="E46" s="7" t="s">
        <v>13</v>
      </c>
      <c r="F46" s="7" t="s">
        <v>14</v>
      </c>
      <c r="G46" s="7">
        <v>1</v>
      </c>
      <c r="H46" s="16">
        <v>65000</v>
      </c>
      <c r="I46" s="8">
        <v>0.1</v>
      </c>
      <c r="J46" s="9" t="s">
        <v>15</v>
      </c>
    </row>
    <row r="47" spans="1:10" x14ac:dyDescent="0.3">
      <c r="A47" s="21" t="s">
        <v>84</v>
      </c>
      <c r="B47" s="6">
        <v>46257</v>
      </c>
      <c r="C47" s="7" t="s">
        <v>26</v>
      </c>
      <c r="D47" s="7" t="s">
        <v>27</v>
      </c>
      <c r="E47" s="7" t="s">
        <v>18</v>
      </c>
      <c r="F47" s="7" t="s">
        <v>19</v>
      </c>
      <c r="G47" s="7">
        <v>12</v>
      </c>
      <c r="H47" s="16">
        <v>800</v>
      </c>
      <c r="I47" s="8">
        <v>0.12</v>
      </c>
      <c r="J47" s="9" t="s">
        <v>30</v>
      </c>
    </row>
    <row r="48" spans="1:10" x14ac:dyDescent="0.3">
      <c r="A48" s="21" t="s">
        <v>85</v>
      </c>
      <c r="B48" s="6">
        <v>46258</v>
      </c>
      <c r="C48" s="7" t="s">
        <v>44</v>
      </c>
      <c r="D48" s="7" t="s">
        <v>12</v>
      </c>
      <c r="E48" s="7" t="s">
        <v>23</v>
      </c>
      <c r="F48" s="7" t="s">
        <v>24</v>
      </c>
      <c r="G48" s="7">
        <v>15</v>
      </c>
      <c r="H48" s="16">
        <v>600</v>
      </c>
      <c r="I48" s="8">
        <v>0.05</v>
      </c>
      <c r="J48" s="9" t="s">
        <v>15</v>
      </c>
    </row>
    <row r="49" spans="1:10" x14ac:dyDescent="0.3">
      <c r="A49" s="21" t="s">
        <v>86</v>
      </c>
      <c r="B49" s="6">
        <v>46258</v>
      </c>
      <c r="C49" s="7" t="s">
        <v>40</v>
      </c>
      <c r="D49" s="7" t="s">
        <v>27</v>
      </c>
      <c r="E49" s="7" t="s">
        <v>28</v>
      </c>
      <c r="F49" s="7" t="s">
        <v>29</v>
      </c>
      <c r="G49" s="7">
        <v>6</v>
      </c>
      <c r="H49" s="16">
        <v>2600</v>
      </c>
      <c r="I49" s="8">
        <v>0.1</v>
      </c>
      <c r="J49" s="9" t="s">
        <v>20</v>
      </c>
    </row>
    <row r="50" spans="1:10" x14ac:dyDescent="0.3">
      <c r="A50" s="21" t="s">
        <v>87</v>
      </c>
      <c r="B50" s="6">
        <v>46259</v>
      </c>
      <c r="C50" s="7" t="s">
        <v>34</v>
      </c>
      <c r="D50" s="7" t="s">
        <v>35</v>
      </c>
      <c r="E50" s="7" t="s">
        <v>13</v>
      </c>
      <c r="F50" s="7" t="s">
        <v>14</v>
      </c>
      <c r="G50" s="7">
        <v>25</v>
      </c>
      <c r="H50" s="16">
        <v>730</v>
      </c>
      <c r="I50" s="8">
        <v>0.05</v>
      </c>
      <c r="J50" s="9" t="s">
        <v>15</v>
      </c>
    </row>
    <row r="51" spans="1:10" ht="15" thickBot="1" x14ac:dyDescent="0.35">
      <c r="A51" s="22" t="s">
        <v>88</v>
      </c>
      <c r="B51" s="11">
        <v>46259</v>
      </c>
      <c r="C51" s="12" t="s">
        <v>55</v>
      </c>
      <c r="D51" s="12" t="s">
        <v>12</v>
      </c>
      <c r="E51" s="12" t="s">
        <v>18</v>
      </c>
      <c r="F51" s="12" t="s">
        <v>19</v>
      </c>
      <c r="G51" s="12">
        <v>2</v>
      </c>
      <c r="H51" s="17">
        <v>13000</v>
      </c>
      <c r="I51" s="13">
        <v>0.08</v>
      </c>
      <c r="J51" s="14" t="s">
        <v>20</v>
      </c>
    </row>
  </sheetData>
  <conditionalFormatting sqref="G2:G51">
    <cfRule type="cellIs" dxfId="3" priority="4" operator="greaterThan">
      <formula>5</formula>
    </cfRule>
  </conditionalFormatting>
  <conditionalFormatting sqref="H2:H51">
    <cfRule type="cellIs" dxfId="2" priority="3" operator="greaterThan">
      <formula>50000</formula>
    </cfRule>
  </conditionalFormatting>
  <conditionalFormatting sqref="D2:D51">
    <cfRule type="containsText" dxfId="1" priority="2" operator="containsText" text="Electronics">
      <formula>NOT(ISERROR(SEARCH("Electronics",D2)))</formula>
    </cfRule>
  </conditionalFormatting>
  <conditionalFormatting sqref="E2:E51">
    <cfRule type="containsText" dxfId="0" priority="1" operator="containsText" text="North">
      <formula>NOT(ISERROR(SEARCH("North",E2)))</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10876-DBAF-42B2-A52A-5B001EFDBAD6}">
  <sheetPr filterMode="1"/>
  <dimension ref="A1:J51"/>
  <sheetViews>
    <sheetView workbookViewId="0">
      <selection activeCell="F10" sqref="F10"/>
    </sheetView>
  </sheetViews>
  <sheetFormatPr defaultRowHeight="14.4" x14ac:dyDescent="0.3"/>
  <cols>
    <col min="1" max="1" width="7.6640625" bestFit="1" customWidth="1"/>
    <col min="2" max="2" width="10.33203125" bestFit="1" customWidth="1"/>
    <col min="3" max="3" width="11.109375" bestFit="1" customWidth="1"/>
    <col min="4" max="4" width="9.88671875" bestFit="1" customWidth="1"/>
    <col min="5" max="5" width="6.77734375" bestFit="1" customWidth="1"/>
    <col min="6" max="6" width="11" bestFit="1" customWidth="1"/>
    <col min="7" max="7" width="8.33203125" bestFit="1" customWidth="1"/>
    <col min="8" max="8" width="11.33203125" bestFit="1" customWidth="1"/>
    <col min="9" max="9" width="8.33203125" bestFit="1" customWidth="1"/>
    <col min="10" max="10" width="8.5546875" bestFit="1" customWidth="1"/>
  </cols>
  <sheetData>
    <row r="1" spans="1:10" x14ac:dyDescent="0.3">
      <c r="A1" s="20" t="s">
        <v>0</v>
      </c>
      <c r="B1" s="19" t="s">
        <v>1</v>
      </c>
      <c r="C1" s="3" t="s">
        <v>2</v>
      </c>
      <c r="D1" s="3" t="s">
        <v>3</v>
      </c>
      <c r="E1" s="3" t="s">
        <v>4</v>
      </c>
      <c r="F1" s="3" t="s">
        <v>5</v>
      </c>
      <c r="G1" s="3" t="s">
        <v>6</v>
      </c>
      <c r="H1" s="15" t="s">
        <v>7</v>
      </c>
      <c r="I1" s="3" t="s">
        <v>8</v>
      </c>
      <c r="J1" s="4" t="s">
        <v>9</v>
      </c>
    </row>
    <row r="2" spans="1:10" x14ac:dyDescent="0.3">
      <c r="A2" s="21" t="s">
        <v>10</v>
      </c>
      <c r="B2" s="6">
        <v>46235</v>
      </c>
      <c r="C2" s="7" t="s">
        <v>11</v>
      </c>
      <c r="D2" s="7" t="s">
        <v>12</v>
      </c>
      <c r="E2" s="7" t="s">
        <v>13</v>
      </c>
      <c r="F2" s="7" t="s">
        <v>14</v>
      </c>
      <c r="G2" s="7">
        <v>2</v>
      </c>
      <c r="H2" s="16">
        <v>55000</v>
      </c>
      <c r="I2" s="8">
        <v>0.05</v>
      </c>
      <c r="J2" s="9" t="s">
        <v>15</v>
      </c>
    </row>
    <row r="3" spans="1:10" hidden="1" x14ac:dyDescent="0.3">
      <c r="A3" s="21" t="s">
        <v>16</v>
      </c>
      <c r="B3" s="6">
        <v>46235</v>
      </c>
      <c r="C3" s="7" t="s">
        <v>17</v>
      </c>
      <c r="D3" s="7" t="s">
        <v>12</v>
      </c>
      <c r="E3" s="7" t="s">
        <v>18</v>
      </c>
      <c r="F3" s="7" t="s">
        <v>19</v>
      </c>
      <c r="G3" s="7">
        <v>3</v>
      </c>
      <c r="H3" s="16">
        <v>22000</v>
      </c>
      <c r="I3" s="8">
        <v>0.1</v>
      </c>
      <c r="J3" s="9" t="s">
        <v>20</v>
      </c>
    </row>
    <row r="4" spans="1:10" hidden="1" x14ac:dyDescent="0.3">
      <c r="A4" s="21" t="s">
        <v>21</v>
      </c>
      <c r="B4" s="6">
        <v>46236</v>
      </c>
      <c r="C4" s="7" t="s">
        <v>22</v>
      </c>
      <c r="D4" s="7" t="s">
        <v>12</v>
      </c>
      <c r="E4" s="7" t="s">
        <v>23</v>
      </c>
      <c r="F4" s="7" t="s">
        <v>24</v>
      </c>
      <c r="G4" s="7">
        <v>5</v>
      </c>
      <c r="H4" s="16">
        <v>2500</v>
      </c>
      <c r="I4" s="8">
        <v>0.05</v>
      </c>
      <c r="J4" s="9" t="s">
        <v>15</v>
      </c>
    </row>
    <row r="5" spans="1:10" hidden="1" x14ac:dyDescent="0.3">
      <c r="A5" s="21" t="s">
        <v>25</v>
      </c>
      <c r="B5" s="6">
        <v>46236</v>
      </c>
      <c r="C5" s="7" t="s">
        <v>26</v>
      </c>
      <c r="D5" s="7" t="s">
        <v>27</v>
      </c>
      <c r="E5" s="7" t="s">
        <v>28</v>
      </c>
      <c r="F5" s="7" t="s">
        <v>29</v>
      </c>
      <c r="G5" s="7">
        <v>6</v>
      </c>
      <c r="H5" s="16">
        <v>900</v>
      </c>
      <c r="I5" s="8">
        <v>0.15</v>
      </c>
      <c r="J5" s="9" t="s">
        <v>30</v>
      </c>
    </row>
    <row r="6" spans="1:10" x14ac:dyDescent="0.3">
      <c r="A6" s="21" t="s">
        <v>31</v>
      </c>
      <c r="B6" s="6">
        <v>46237</v>
      </c>
      <c r="C6" s="7" t="s">
        <v>32</v>
      </c>
      <c r="D6" s="7" t="s">
        <v>27</v>
      </c>
      <c r="E6" s="7" t="s">
        <v>13</v>
      </c>
      <c r="F6" s="7" t="s">
        <v>14</v>
      </c>
      <c r="G6" s="7">
        <v>4</v>
      </c>
      <c r="H6" s="16">
        <v>1800</v>
      </c>
      <c r="I6" s="8">
        <v>0.1</v>
      </c>
      <c r="J6" s="9" t="s">
        <v>20</v>
      </c>
    </row>
    <row r="7" spans="1:10" hidden="1" x14ac:dyDescent="0.3">
      <c r="A7" s="21" t="s">
        <v>33</v>
      </c>
      <c r="B7" s="6">
        <v>46237</v>
      </c>
      <c r="C7" s="7" t="s">
        <v>34</v>
      </c>
      <c r="D7" s="7" t="s">
        <v>35</v>
      </c>
      <c r="E7" s="7" t="s">
        <v>18</v>
      </c>
      <c r="F7" s="7" t="s">
        <v>19</v>
      </c>
      <c r="G7" s="7">
        <v>10</v>
      </c>
      <c r="H7" s="16">
        <v>750</v>
      </c>
      <c r="I7" s="8">
        <v>0.05</v>
      </c>
      <c r="J7" s="9" t="s">
        <v>15</v>
      </c>
    </row>
    <row r="8" spans="1:10" hidden="1" x14ac:dyDescent="0.3">
      <c r="A8" s="21" t="s">
        <v>36</v>
      </c>
      <c r="B8" s="6">
        <v>46238</v>
      </c>
      <c r="C8" s="7" t="s">
        <v>37</v>
      </c>
      <c r="D8" s="7" t="s">
        <v>38</v>
      </c>
      <c r="E8" s="7" t="s">
        <v>23</v>
      </c>
      <c r="F8" s="7" t="s">
        <v>24</v>
      </c>
      <c r="G8" s="7">
        <v>2</v>
      </c>
      <c r="H8" s="16">
        <v>3200</v>
      </c>
      <c r="I8" s="8">
        <v>0.08</v>
      </c>
      <c r="J8" s="9" t="s">
        <v>20</v>
      </c>
    </row>
    <row r="9" spans="1:10" hidden="1" x14ac:dyDescent="0.3">
      <c r="A9" s="21" t="s">
        <v>39</v>
      </c>
      <c r="B9" s="6">
        <v>46238</v>
      </c>
      <c r="C9" s="7" t="s">
        <v>40</v>
      </c>
      <c r="D9" s="7" t="s">
        <v>27</v>
      </c>
      <c r="E9" s="7" t="s">
        <v>28</v>
      </c>
      <c r="F9" s="7" t="s">
        <v>29</v>
      </c>
      <c r="G9" s="7">
        <v>3</v>
      </c>
      <c r="H9" s="16">
        <v>2500</v>
      </c>
      <c r="I9" s="8">
        <v>0.12</v>
      </c>
      <c r="J9" s="9" t="s">
        <v>15</v>
      </c>
    </row>
    <row r="10" spans="1:10" x14ac:dyDescent="0.3">
      <c r="A10" s="21" t="s">
        <v>41</v>
      </c>
      <c r="B10" s="6">
        <v>46239</v>
      </c>
      <c r="C10" s="7" t="s">
        <v>42</v>
      </c>
      <c r="D10" s="7" t="s">
        <v>12</v>
      </c>
      <c r="E10" s="7" t="s">
        <v>13</v>
      </c>
      <c r="F10" s="7" t="s">
        <v>14</v>
      </c>
      <c r="G10" s="7">
        <v>5</v>
      </c>
      <c r="H10" s="16">
        <v>1500</v>
      </c>
      <c r="I10" s="8">
        <v>0.05</v>
      </c>
      <c r="J10" s="9" t="s">
        <v>30</v>
      </c>
    </row>
    <row r="11" spans="1:10" hidden="1" x14ac:dyDescent="0.3">
      <c r="A11" s="21" t="s">
        <v>43</v>
      </c>
      <c r="B11" s="6">
        <v>46239</v>
      </c>
      <c r="C11" s="7" t="s">
        <v>44</v>
      </c>
      <c r="D11" s="7" t="s">
        <v>12</v>
      </c>
      <c r="E11" s="7" t="s">
        <v>18</v>
      </c>
      <c r="F11" s="7" t="s">
        <v>19</v>
      </c>
      <c r="G11" s="7">
        <v>8</v>
      </c>
      <c r="H11" s="16">
        <v>700</v>
      </c>
      <c r="I11" s="8">
        <v>0.1</v>
      </c>
      <c r="J11" s="9" t="s">
        <v>15</v>
      </c>
    </row>
    <row r="12" spans="1:10" hidden="1" x14ac:dyDescent="0.3">
      <c r="A12" s="21" t="s">
        <v>45</v>
      </c>
      <c r="B12" s="6">
        <v>46240</v>
      </c>
      <c r="C12" s="7" t="s">
        <v>11</v>
      </c>
      <c r="D12" s="7" t="s">
        <v>12</v>
      </c>
      <c r="E12" s="7" t="s">
        <v>23</v>
      </c>
      <c r="F12" s="7" t="s">
        <v>24</v>
      </c>
      <c r="G12" s="7">
        <v>1</v>
      </c>
      <c r="H12" s="16">
        <v>62000</v>
      </c>
      <c r="I12" s="8">
        <v>7.0000000000000007E-2</v>
      </c>
      <c r="J12" s="9" t="s">
        <v>20</v>
      </c>
    </row>
    <row r="13" spans="1:10" hidden="1" x14ac:dyDescent="0.3">
      <c r="A13" s="21" t="s">
        <v>46</v>
      </c>
      <c r="B13" s="6">
        <v>46240</v>
      </c>
      <c r="C13" s="7" t="s">
        <v>17</v>
      </c>
      <c r="D13" s="7" t="s">
        <v>12</v>
      </c>
      <c r="E13" s="7" t="s">
        <v>28</v>
      </c>
      <c r="F13" s="7" t="s">
        <v>29</v>
      </c>
      <c r="G13" s="7">
        <v>4</v>
      </c>
      <c r="H13" s="16">
        <v>18000</v>
      </c>
      <c r="I13" s="8">
        <v>0.05</v>
      </c>
      <c r="J13" s="9" t="s">
        <v>15</v>
      </c>
    </row>
    <row r="14" spans="1:10" x14ac:dyDescent="0.3">
      <c r="A14" s="21" t="s">
        <v>47</v>
      </c>
      <c r="B14" s="6">
        <v>46241</v>
      </c>
      <c r="C14" s="7" t="s">
        <v>48</v>
      </c>
      <c r="D14" s="7" t="s">
        <v>27</v>
      </c>
      <c r="E14" s="7" t="s">
        <v>13</v>
      </c>
      <c r="F14" s="7" t="s">
        <v>14</v>
      </c>
      <c r="G14" s="7">
        <v>2</v>
      </c>
      <c r="H14" s="16">
        <v>3500</v>
      </c>
      <c r="I14" s="8">
        <v>0.1</v>
      </c>
      <c r="J14" s="9" t="s">
        <v>30</v>
      </c>
    </row>
    <row r="15" spans="1:10" hidden="1" x14ac:dyDescent="0.3">
      <c r="A15" s="21" t="s">
        <v>49</v>
      </c>
      <c r="B15" s="6">
        <v>46241</v>
      </c>
      <c r="C15" s="7" t="s">
        <v>50</v>
      </c>
      <c r="D15" s="7" t="s">
        <v>35</v>
      </c>
      <c r="E15" s="7" t="s">
        <v>18</v>
      </c>
      <c r="F15" s="7" t="s">
        <v>19</v>
      </c>
      <c r="G15" s="7">
        <v>12</v>
      </c>
      <c r="H15" s="16">
        <v>160</v>
      </c>
      <c r="I15" s="8">
        <v>0.05</v>
      </c>
      <c r="J15" s="9" t="s">
        <v>15</v>
      </c>
    </row>
    <row r="16" spans="1:10" hidden="1" x14ac:dyDescent="0.3">
      <c r="A16" s="21" t="s">
        <v>51</v>
      </c>
      <c r="B16" s="6">
        <v>46242</v>
      </c>
      <c r="C16" s="7" t="s">
        <v>52</v>
      </c>
      <c r="D16" s="7" t="s">
        <v>38</v>
      </c>
      <c r="E16" s="7" t="s">
        <v>23</v>
      </c>
      <c r="F16" s="7" t="s">
        <v>24</v>
      </c>
      <c r="G16" s="7">
        <v>3</v>
      </c>
      <c r="H16" s="16">
        <v>2800</v>
      </c>
      <c r="I16" s="8">
        <v>0.08</v>
      </c>
      <c r="J16" s="9" t="s">
        <v>20</v>
      </c>
    </row>
    <row r="17" spans="1:10" hidden="1" x14ac:dyDescent="0.3">
      <c r="A17" s="21" t="s">
        <v>53</v>
      </c>
      <c r="B17" s="6">
        <v>46242</v>
      </c>
      <c r="C17" s="7" t="s">
        <v>40</v>
      </c>
      <c r="D17" s="7" t="s">
        <v>27</v>
      </c>
      <c r="E17" s="7" t="s">
        <v>28</v>
      </c>
      <c r="F17" s="7" t="s">
        <v>29</v>
      </c>
      <c r="G17" s="7">
        <v>5</v>
      </c>
      <c r="H17" s="16">
        <v>2200</v>
      </c>
      <c r="I17" s="8">
        <v>0.15</v>
      </c>
      <c r="J17" s="9" t="s">
        <v>15</v>
      </c>
    </row>
    <row r="18" spans="1:10" x14ac:dyDescent="0.3">
      <c r="A18" s="21" t="s">
        <v>54</v>
      </c>
      <c r="B18" s="6">
        <v>46243</v>
      </c>
      <c r="C18" s="7" t="s">
        <v>55</v>
      </c>
      <c r="D18" s="7" t="s">
        <v>12</v>
      </c>
      <c r="E18" s="7" t="s">
        <v>13</v>
      </c>
      <c r="F18" s="7" t="s">
        <v>14</v>
      </c>
      <c r="G18" s="7">
        <v>2</v>
      </c>
      <c r="H18" s="16">
        <v>12500</v>
      </c>
      <c r="I18" s="8">
        <v>0.1</v>
      </c>
      <c r="J18" s="9" t="s">
        <v>20</v>
      </c>
    </row>
    <row r="19" spans="1:10" hidden="1" x14ac:dyDescent="0.3">
      <c r="A19" s="21" t="s">
        <v>56</v>
      </c>
      <c r="B19" s="6">
        <v>46243</v>
      </c>
      <c r="C19" s="7" t="s">
        <v>42</v>
      </c>
      <c r="D19" s="7" t="s">
        <v>12</v>
      </c>
      <c r="E19" s="7" t="s">
        <v>18</v>
      </c>
      <c r="F19" s="7" t="s">
        <v>19</v>
      </c>
      <c r="G19" s="7">
        <v>7</v>
      </c>
      <c r="H19" s="16">
        <v>1700</v>
      </c>
      <c r="I19" s="8">
        <v>0.05</v>
      </c>
      <c r="J19" s="9" t="s">
        <v>30</v>
      </c>
    </row>
    <row r="20" spans="1:10" hidden="1" x14ac:dyDescent="0.3">
      <c r="A20" s="21" t="s">
        <v>57</v>
      </c>
      <c r="B20" s="6">
        <v>46244</v>
      </c>
      <c r="C20" s="7" t="s">
        <v>26</v>
      </c>
      <c r="D20" s="7" t="s">
        <v>27</v>
      </c>
      <c r="E20" s="7" t="s">
        <v>23</v>
      </c>
      <c r="F20" s="7" t="s">
        <v>24</v>
      </c>
      <c r="G20" s="7">
        <v>8</v>
      </c>
      <c r="H20" s="16">
        <v>850</v>
      </c>
      <c r="I20" s="8">
        <v>0.1</v>
      </c>
      <c r="J20" s="9" t="s">
        <v>15</v>
      </c>
    </row>
    <row r="21" spans="1:10" hidden="1" x14ac:dyDescent="0.3">
      <c r="A21" s="21" t="s">
        <v>58</v>
      </c>
      <c r="B21" s="6">
        <v>46244</v>
      </c>
      <c r="C21" s="7" t="s">
        <v>34</v>
      </c>
      <c r="D21" s="7" t="s">
        <v>35</v>
      </c>
      <c r="E21" s="7" t="s">
        <v>28</v>
      </c>
      <c r="F21" s="7" t="s">
        <v>29</v>
      </c>
      <c r="G21" s="7">
        <v>15</v>
      </c>
      <c r="H21" s="16">
        <v>720</v>
      </c>
      <c r="I21" s="8">
        <v>0.05</v>
      </c>
      <c r="J21" s="9" t="s">
        <v>20</v>
      </c>
    </row>
    <row r="22" spans="1:10" x14ac:dyDescent="0.3">
      <c r="A22" s="21" t="s">
        <v>59</v>
      </c>
      <c r="B22" s="6">
        <v>46245</v>
      </c>
      <c r="C22" s="7" t="s">
        <v>17</v>
      </c>
      <c r="D22" s="7" t="s">
        <v>12</v>
      </c>
      <c r="E22" s="7" t="s">
        <v>13</v>
      </c>
      <c r="F22" s="7" t="s">
        <v>14</v>
      </c>
      <c r="G22" s="7">
        <v>2</v>
      </c>
      <c r="H22" s="16">
        <v>24000</v>
      </c>
      <c r="I22" s="8">
        <v>0.08</v>
      </c>
      <c r="J22" s="9" t="s">
        <v>15</v>
      </c>
    </row>
    <row r="23" spans="1:10" hidden="1" x14ac:dyDescent="0.3">
      <c r="A23" s="21" t="s">
        <v>60</v>
      </c>
      <c r="B23" s="6">
        <v>46245</v>
      </c>
      <c r="C23" s="7" t="s">
        <v>11</v>
      </c>
      <c r="D23" s="7" t="s">
        <v>12</v>
      </c>
      <c r="E23" s="7" t="s">
        <v>18</v>
      </c>
      <c r="F23" s="7" t="s">
        <v>19</v>
      </c>
      <c r="G23" s="7">
        <v>1</v>
      </c>
      <c r="H23" s="16">
        <v>58000</v>
      </c>
      <c r="I23" s="8">
        <v>0.05</v>
      </c>
      <c r="J23" s="9" t="s">
        <v>20</v>
      </c>
    </row>
    <row r="24" spans="1:10" hidden="1" x14ac:dyDescent="0.3">
      <c r="A24" s="21" t="s">
        <v>61</v>
      </c>
      <c r="B24" s="6">
        <v>46246</v>
      </c>
      <c r="C24" s="7" t="s">
        <v>32</v>
      </c>
      <c r="D24" s="7" t="s">
        <v>27</v>
      </c>
      <c r="E24" s="7" t="s">
        <v>23</v>
      </c>
      <c r="F24" s="7" t="s">
        <v>24</v>
      </c>
      <c r="G24" s="7">
        <v>6</v>
      </c>
      <c r="H24" s="16">
        <v>1600</v>
      </c>
      <c r="I24" s="8">
        <v>0.12</v>
      </c>
      <c r="J24" s="9" t="s">
        <v>30</v>
      </c>
    </row>
    <row r="25" spans="1:10" hidden="1" x14ac:dyDescent="0.3">
      <c r="A25" s="21" t="s">
        <v>62</v>
      </c>
      <c r="B25" s="6">
        <v>46246</v>
      </c>
      <c r="C25" s="7" t="s">
        <v>37</v>
      </c>
      <c r="D25" s="6" t="s">
        <v>38</v>
      </c>
      <c r="E25" s="7" t="s">
        <v>28</v>
      </c>
      <c r="F25" s="7" t="s">
        <v>29</v>
      </c>
      <c r="G25" s="7">
        <v>2</v>
      </c>
      <c r="H25" s="16">
        <v>3500</v>
      </c>
      <c r="I25" s="8">
        <v>0.1</v>
      </c>
      <c r="J25" s="9" t="s">
        <v>15</v>
      </c>
    </row>
    <row r="26" spans="1:10" x14ac:dyDescent="0.3">
      <c r="A26" s="21" t="s">
        <v>63</v>
      </c>
      <c r="B26" s="6">
        <v>46247</v>
      </c>
      <c r="C26" s="7" t="s">
        <v>22</v>
      </c>
      <c r="D26" s="7" t="s">
        <v>12</v>
      </c>
      <c r="E26" s="7" t="s">
        <v>13</v>
      </c>
      <c r="F26" s="7" t="s">
        <v>14</v>
      </c>
      <c r="G26" s="7">
        <v>10</v>
      </c>
      <c r="H26" s="16">
        <v>2200</v>
      </c>
      <c r="I26" s="8">
        <v>0.05</v>
      </c>
      <c r="J26" s="9" t="s">
        <v>20</v>
      </c>
    </row>
    <row r="27" spans="1:10" hidden="1" x14ac:dyDescent="0.3">
      <c r="A27" s="21" t="s">
        <v>64</v>
      </c>
      <c r="B27" s="6">
        <v>46247</v>
      </c>
      <c r="C27" s="7" t="s">
        <v>40</v>
      </c>
      <c r="D27" s="7" t="s">
        <v>27</v>
      </c>
      <c r="E27" s="7" t="s">
        <v>18</v>
      </c>
      <c r="F27" s="7" t="s">
        <v>19</v>
      </c>
      <c r="G27" s="7">
        <v>4</v>
      </c>
      <c r="H27" s="16">
        <v>2800</v>
      </c>
      <c r="I27" s="8">
        <v>0.15</v>
      </c>
      <c r="J27" s="9" t="s">
        <v>15</v>
      </c>
    </row>
    <row r="28" spans="1:10" hidden="1" x14ac:dyDescent="0.3">
      <c r="A28" s="21" t="s">
        <v>65</v>
      </c>
      <c r="B28" s="6">
        <v>46248</v>
      </c>
      <c r="C28" s="7" t="s">
        <v>44</v>
      </c>
      <c r="D28" s="7" t="s">
        <v>12</v>
      </c>
      <c r="E28" s="7" t="s">
        <v>23</v>
      </c>
      <c r="F28" s="7" t="s">
        <v>24</v>
      </c>
      <c r="G28" s="7">
        <v>12</v>
      </c>
      <c r="H28" s="16">
        <v>650</v>
      </c>
      <c r="I28" s="8">
        <v>0.05</v>
      </c>
      <c r="J28" s="9" t="s">
        <v>30</v>
      </c>
    </row>
    <row r="29" spans="1:10" hidden="1" x14ac:dyDescent="0.3">
      <c r="A29" s="21" t="s">
        <v>66</v>
      </c>
      <c r="B29" s="6">
        <v>46248</v>
      </c>
      <c r="C29" s="7" t="s">
        <v>48</v>
      </c>
      <c r="D29" s="7" t="s">
        <v>27</v>
      </c>
      <c r="E29" s="7" t="s">
        <v>28</v>
      </c>
      <c r="F29" s="7" t="s">
        <v>29</v>
      </c>
      <c r="G29" s="7">
        <v>3</v>
      </c>
      <c r="H29" s="16">
        <v>4200</v>
      </c>
      <c r="I29" s="8">
        <v>0.1</v>
      </c>
      <c r="J29" s="9" t="s">
        <v>20</v>
      </c>
    </row>
    <row r="30" spans="1:10" x14ac:dyDescent="0.3">
      <c r="A30" s="21" t="s">
        <v>67</v>
      </c>
      <c r="B30" s="6">
        <v>46249</v>
      </c>
      <c r="C30" s="7" t="s">
        <v>34</v>
      </c>
      <c r="D30" s="7" t="s">
        <v>35</v>
      </c>
      <c r="E30" s="7" t="s">
        <v>13</v>
      </c>
      <c r="F30" s="7" t="s">
        <v>14</v>
      </c>
      <c r="G30" s="7">
        <v>20</v>
      </c>
      <c r="H30" s="16">
        <v>700</v>
      </c>
      <c r="I30" s="8">
        <v>0.05</v>
      </c>
      <c r="J30" s="9" t="s">
        <v>15</v>
      </c>
    </row>
    <row r="31" spans="1:10" hidden="1" x14ac:dyDescent="0.3">
      <c r="A31" s="21" t="s">
        <v>68</v>
      </c>
      <c r="B31" s="6">
        <v>46249</v>
      </c>
      <c r="C31" s="7" t="s">
        <v>52</v>
      </c>
      <c r="D31" s="7" t="s">
        <v>38</v>
      </c>
      <c r="E31" s="7" t="s">
        <v>18</v>
      </c>
      <c r="F31" s="7" t="s">
        <v>19</v>
      </c>
      <c r="G31" s="7">
        <v>4</v>
      </c>
      <c r="H31" s="16">
        <v>3000</v>
      </c>
      <c r="I31" s="8">
        <v>0.08</v>
      </c>
      <c r="J31" s="9" t="s">
        <v>20</v>
      </c>
    </row>
    <row r="32" spans="1:10" hidden="1" x14ac:dyDescent="0.3">
      <c r="A32" s="21" t="s">
        <v>69</v>
      </c>
      <c r="B32" s="6">
        <v>46250</v>
      </c>
      <c r="C32" s="7" t="s">
        <v>55</v>
      </c>
      <c r="D32" s="7" t="s">
        <v>12</v>
      </c>
      <c r="E32" s="7" t="s">
        <v>23</v>
      </c>
      <c r="F32" s="7" t="s">
        <v>24</v>
      </c>
      <c r="G32" s="7">
        <v>3</v>
      </c>
      <c r="H32" s="16">
        <v>11500</v>
      </c>
      <c r="I32" s="8">
        <v>0.1</v>
      </c>
      <c r="J32" s="9" t="s">
        <v>15</v>
      </c>
    </row>
    <row r="33" spans="1:10" hidden="1" x14ac:dyDescent="0.3">
      <c r="A33" s="21" t="s">
        <v>70</v>
      </c>
      <c r="B33" s="6">
        <v>46250</v>
      </c>
      <c r="C33" s="7" t="s">
        <v>26</v>
      </c>
      <c r="D33" s="7" t="s">
        <v>27</v>
      </c>
      <c r="E33" s="7" t="s">
        <v>28</v>
      </c>
      <c r="F33" s="7" t="s">
        <v>29</v>
      </c>
      <c r="G33" s="7">
        <v>10</v>
      </c>
      <c r="H33" s="16">
        <v>950</v>
      </c>
      <c r="I33" s="8">
        <v>0.15</v>
      </c>
      <c r="J33" s="9" t="s">
        <v>30</v>
      </c>
    </row>
    <row r="34" spans="1:10" x14ac:dyDescent="0.3">
      <c r="A34" s="21" t="s">
        <v>71</v>
      </c>
      <c r="B34" s="6">
        <v>46251</v>
      </c>
      <c r="C34" s="7" t="s">
        <v>17</v>
      </c>
      <c r="D34" s="7" t="s">
        <v>12</v>
      </c>
      <c r="E34" s="7" t="s">
        <v>13</v>
      </c>
      <c r="F34" s="7" t="s">
        <v>14</v>
      </c>
      <c r="G34" s="7">
        <v>5</v>
      </c>
      <c r="H34" s="16">
        <v>21000</v>
      </c>
      <c r="I34" s="8">
        <v>7.0000000000000007E-2</v>
      </c>
      <c r="J34" s="9" t="s">
        <v>20</v>
      </c>
    </row>
    <row r="35" spans="1:10" hidden="1" x14ac:dyDescent="0.3">
      <c r="A35" s="21" t="s">
        <v>72</v>
      </c>
      <c r="B35" s="6">
        <v>46251</v>
      </c>
      <c r="C35" s="7" t="s">
        <v>50</v>
      </c>
      <c r="D35" s="7" t="s">
        <v>35</v>
      </c>
      <c r="E35" s="7" t="s">
        <v>18</v>
      </c>
      <c r="F35" s="7" t="s">
        <v>19</v>
      </c>
      <c r="G35" s="7">
        <v>20</v>
      </c>
      <c r="H35" s="16">
        <v>155</v>
      </c>
      <c r="I35" s="8">
        <v>0.05</v>
      </c>
      <c r="J35" s="9" t="s">
        <v>15</v>
      </c>
    </row>
    <row r="36" spans="1:10" hidden="1" x14ac:dyDescent="0.3">
      <c r="A36" s="21" t="s">
        <v>73</v>
      </c>
      <c r="B36" s="6">
        <v>46252</v>
      </c>
      <c r="C36" s="7" t="s">
        <v>11</v>
      </c>
      <c r="D36" s="7" t="s">
        <v>12</v>
      </c>
      <c r="E36" s="7" t="s">
        <v>23</v>
      </c>
      <c r="F36" s="7" t="s">
        <v>24</v>
      </c>
      <c r="G36" s="7">
        <v>2</v>
      </c>
      <c r="H36" s="16">
        <v>60000</v>
      </c>
      <c r="I36" s="8">
        <v>0.1</v>
      </c>
      <c r="J36" s="9" t="s">
        <v>20</v>
      </c>
    </row>
    <row r="37" spans="1:10" hidden="1" x14ac:dyDescent="0.3">
      <c r="A37" s="21" t="s">
        <v>74</v>
      </c>
      <c r="B37" s="6">
        <v>46252</v>
      </c>
      <c r="C37" s="7" t="s">
        <v>32</v>
      </c>
      <c r="D37" s="7" t="s">
        <v>27</v>
      </c>
      <c r="E37" s="7" t="s">
        <v>28</v>
      </c>
      <c r="F37" s="7" t="s">
        <v>29</v>
      </c>
      <c r="G37" s="7">
        <v>5</v>
      </c>
      <c r="H37" s="16">
        <v>1900</v>
      </c>
      <c r="I37" s="8">
        <v>0.12</v>
      </c>
      <c r="J37" s="9" t="s">
        <v>15</v>
      </c>
    </row>
    <row r="38" spans="1:10" x14ac:dyDescent="0.3">
      <c r="A38" s="21" t="s">
        <v>75</v>
      </c>
      <c r="B38" s="6">
        <v>46253</v>
      </c>
      <c r="C38" s="7" t="s">
        <v>42</v>
      </c>
      <c r="D38" s="7" t="s">
        <v>12</v>
      </c>
      <c r="E38" s="7" t="s">
        <v>13</v>
      </c>
      <c r="F38" s="7" t="s">
        <v>14</v>
      </c>
      <c r="G38" s="7">
        <v>6</v>
      </c>
      <c r="H38" s="16">
        <v>1600</v>
      </c>
      <c r="I38" s="8">
        <v>0.05</v>
      </c>
      <c r="J38" s="9" t="s">
        <v>30</v>
      </c>
    </row>
    <row r="39" spans="1:10" hidden="1" x14ac:dyDescent="0.3">
      <c r="A39" s="21" t="s">
        <v>76</v>
      </c>
      <c r="B39" s="6">
        <v>46253</v>
      </c>
      <c r="C39" s="7" t="s">
        <v>37</v>
      </c>
      <c r="D39" s="7" t="s">
        <v>38</v>
      </c>
      <c r="E39" s="7" t="s">
        <v>18</v>
      </c>
      <c r="F39" s="7" t="s">
        <v>19</v>
      </c>
      <c r="G39" s="7">
        <v>3</v>
      </c>
      <c r="H39" s="16">
        <v>3300</v>
      </c>
      <c r="I39" s="8">
        <v>0.08</v>
      </c>
      <c r="J39" s="9" t="s">
        <v>20</v>
      </c>
    </row>
    <row r="40" spans="1:10" hidden="1" x14ac:dyDescent="0.3">
      <c r="A40" s="21" t="s">
        <v>77</v>
      </c>
      <c r="B40" s="6">
        <v>46254</v>
      </c>
      <c r="C40" s="7" t="s">
        <v>40</v>
      </c>
      <c r="D40" s="7" t="s">
        <v>27</v>
      </c>
      <c r="E40" s="7" t="s">
        <v>23</v>
      </c>
      <c r="F40" s="7" t="s">
        <v>24</v>
      </c>
      <c r="G40" s="7">
        <v>7</v>
      </c>
      <c r="H40" s="16">
        <v>2400</v>
      </c>
      <c r="I40" s="8">
        <v>0.1</v>
      </c>
      <c r="J40" s="9" t="s">
        <v>15</v>
      </c>
    </row>
    <row r="41" spans="1:10" hidden="1" x14ac:dyDescent="0.3">
      <c r="A41" s="21" t="s">
        <v>78</v>
      </c>
      <c r="B41" s="6">
        <v>46254</v>
      </c>
      <c r="C41" s="7" t="s">
        <v>34</v>
      </c>
      <c r="D41" s="7" t="s">
        <v>35</v>
      </c>
      <c r="E41" s="7" t="s">
        <v>28</v>
      </c>
      <c r="F41" s="7" t="s">
        <v>29</v>
      </c>
      <c r="G41" s="7">
        <v>18</v>
      </c>
      <c r="H41" s="16">
        <v>680</v>
      </c>
      <c r="I41" s="8">
        <v>0.05</v>
      </c>
      <c r="J41" s="9" t="s">
        <v>30</v>
      </c>
    </row>
    <row r="42" spans="1:10" x14ac:dyDescent="0.3">
      <c r="A42" s="21" t="s">
        <v>79</v>
      </c>
      <c r="B42" s="6">
        <v>46255</v>
      </c>
      <c r="C42" s="7" t="s">
        <v>17</v>
      </c>
      <c r="D42" s="7" t="s">
        <v>12</v>
      </c>
      <c r="E42" s="7" t="s">
        <v>13</v>
      </c>
      <c r="F42" s="7" t="s">
        <v>14</v>
      </c>
      <c r="G42" s="7">
        <v>3</v>
      </c>
      <c r="H42" s="16">
        <v>23000</v>
      </c>
      <c r="I42" s="8">
        <v>0.08</v>
      </c>
      <c r="J42" s="9" t="s">
        <v>15</v>
      </c>
    </row>
    <row r="43" spans="1:10" hidden="1" x14ac:dyDescent="0.3">
      <c r="A43" s="21" t="s">
        <v>80</v>
      </c>
      <c r="B43" s="6">
        <v>46255</v>
      </c>
      <c r="C43" s="7" t="s">
        <v>22</v>
      </c>
      <c r="D43" s="7" t="s">
        <v>12</v>
      </c>
      <c r="E43" s="7" t="s">
        <v>18</v>
      </c>
      <c r="F43" s="7" t="s">
        <v>19</v>
      </c>
      <c r="G43" s="7">
        <v>9</v>
      </c>
      <c r="H43" s="16">
        <v>2400</v>
      </c>
      <c r="I43" s="8">
        <v>0.1</v>
      </c>
      <c r="J43" s="9" t="s">
        <v>20</v>
      </c>
    </row>
    <row r="44" spans="1:10" hidden="1" x14ac:dyDescent="0.3">
      <c r="A44" s="21" t="s">
        <v>81</v>
      </c>
      <c r="B44" s="6">
        <v>46256</v>
      </c>
      <c r="C44" s="7" t="s">
        <v>48</v>
      </c>
      <c r="D44" s="7" t="s">
        <v>27</v>
      </c>
      <c r="E44" s="7" t="s">
        <v>23</v>
      </c>
      <c r="F44" s="7" t="s">
        <v>24</v>
      </c>
      <c r="G44" s="7">
        <v>4</v>
      </c>
      <c r="H44" s="16">
        <v>3800</v>
      </c>
      <c r="I44" s="8">
        <v>0.15</v>
      </c>
      <c r="J44" s="9" t="s">
        <v>15</v>
      </c>
    </row>
    <row r="45" spans="1:10" hidden="1" x14ac:dyDescent="0.3">
      <c r="A45" s="21" t="s">
        <v>82</v>
      </c>
      <c r="B45" s="6">
        <v>46256</v>
      </c>
      <c r="C45" s="7" t="s">
        <v>52</v>
      </c>
      <c r="D45" s="7" t="s">
        <v>38</v>
      </c>
      <c r="E45" s="7" t="s">
        <v>28</v>
      </c>
      <c r="F45" s="7" t="s">
        <v>29</v>
      </c>
      <c r="G45" s="7">
        <v>2</v>
      </c>
      <c r="H45" s="16">
        <v>3100</v>
      </c>
      <c r="I45" s="8">
        <v>0.05</v>
      </c>
      <c r="J45" s="9" t="s">
        <v>20</v>
      </c>
    </row>
    <row r="46" spans="1:10" x14ac:dyDescent="0.3">
      <c r="A46" s="21" t="s">
        <v>83</v>
      </c>
      <c r="B46" s="6">
        <v>46257</v>
      </c>
      <c r="C46" s="7" t="s">
        <v>11</v>
      </c>
      <c r="D46" s="7" t="s">
        <v>12</v>
      </c>
      <c r="E46" s="7" t="s">
        <v>13</v>
      </c>
      <c r="F46" s="7" t="s">
        <v>14</v>
      </c>
      <c r="G46" s="7">
        <v>1</v>
      </c>
      <c r="H46" s="16">
        <v>65000</v>
      </c>
      <c r="I46" s="8">
        <v>0.1</v>
      </c>
      <c r="J46" s="9" t="s">
        <v>15</v>
      </c>
    </row>
    <row r="47" spans="1:10" hidden="1" x14ac:dyDescent="0.3">
      <c r="A47" s="21" t="s">
        <v>84</v>
      </c>
      <c r="B47" s="6">
        <v>46257</v>
      </c>
      <c r="C47" s="7" t="s">
        <v>26</v>
      </c>
      <c r="D47" s="7" t="s">
        <v>27</v>
      </c>
      <c r="E47" s="7" t="s">
        <v>18</v>
      </c>
      <c r="F47" s="7" t="s">
        <v>19</v>
      </c>
      <c r="G47" s="7">
        <v>12</v>
      </c>
      <c r="H47" s="16">
        <v>800</v>
      </c>
      <c r="I47" s="8">
        <v>0.12</v>
      </c>
      <c r="J47" s="9" t="s">
        <v>30</v>
      </c>
    </row>
    <row r="48" spans="1:10" hidden="1" x14ac:dyDescent="0.3">
      <c r="A48" s="21" t="s">
        <v>85</v>
      </c>
      <c r="B48" s="6">
        <v>46258</v>
      </c>
      <c r="C48" s="7" t="s">
        <v>44</v>
      </c>
      <c r="D48" s="7" t="s">
        <v>12</v>
      </c>
      <c r="E48" s="7" t="s">
        <v>23</v>
      </c>
      <c r="F48" s="7" t="s">
        <v>24</v>
      </c>
      <c r="G48" s="7">
        <v>15</v>
      </c>
      <c r="H48" s="16">
        <v>600</v>
      </c>
      <c r="I48" s="8">
        <v>0.05</v>
      </c>
      <c r="J48" s="9" t="s">
        <v>15</v>
      </c>
    </row>
    <row r="49" spans="1:10" hidden="1" x14ac:dyDescent="0.3">
      <c r="A49" s="21" t="s">
        <v>86</v>
      </c>
      <c r="B49" s="6">
        <v>46258</v>
      </c>
      <c r="C49" s="7" t="s">
        <v>40</v>
      </c>
      <c r="D49" s="7" t="s">
        <v>27</v>
      </c>
      <c r="E49" s="7" t="s">
        <v>28</v>
      </c>
      <c r="F49" s="7" t="s">
        <v>29</v>
      </c>
      <c r="G49" s="7">
        <v>6</v>
      </c>
      <c r="H49" s="16">
        <v>2600</v>
      </c>
      <c r="I49" s="8">
        <v>0.1</v>
      </c>
      <c r="J49" s="9" t="s">
        <v>20</v>
      </c>
    </row>
    <row r="50" spans="1:10" x14ac:dyDescent="0.3">
      <c r="A50" s="21" t="s">
        <v>87</v>
      </c>
      <c r="B50" s="6">
        <v>46259</v>
      </c>
      <c r="C50" s="7" t="s">
        <v>34</v>
      </c>
      <c r="D50" s="7" t="s">
        <v>35</v>
      </c>
      <c r="E50" s="7" t="s">
        <v>13</v>
      </c>
      <c r="F50" s="7" t="s">
        <v>14</v>
      </c>
      <c r="G50" s="7">
        <v>25</v>
      </c>
      <c r="H50" s="16">
        <v>730</v>
      </c>
      <c r="I50" s="8">
        <v>0.05</v>
      </c>
      <c r="J50" s="9" t="s">
        <v>15</v>
      </c>
    </row>
    <row r="51" spans="1:10" ht="15" hidden="1" thickBot="1" x14ac:dyDescent="0.35">
      <c r="A51" s="22" t="s">
        <v>88</v>
      </c>
      <c r="B51" s="11">
        <v>46259</v>
      </c>
      <c r="C51" s="12" t="s">
        <v>55</v>
      </c>
      <c r="D51" s="12" t="s">
        <v>12</v>
      </c>
      <c r="E51" s="12" t="s">
        <v>18</v>
      </c>
      <c r="F51" s="12" t="s">
        <v>19</v>
      </c>
      <c r="G51" s="12">
        <v>2</v>
      </c>
      <c r="H51" s="17">
        <v>13000</v>
      </c>
      <c r="I51" s="13">
        <v>0.08</v>
      </c>
      <c r="J51" s="14" t="s">
        <v>20</v>
      </c>
    </row>
  </sheetData>
  <autoFilter ref="A1:J51" xr:uid="{90F10876-DBAF-42B2-A52A-5B001EFDBAD6}">
    <filterColumn colId="4">
      <filters>
        <filter val="North"/>
      </filters>
    </filterColumn>
    <sortState xmlns:xlrd2="http://schemas.microsoft.com/office/spreadsheetml/2017/richdata2" ref="A2:J50">
      <sortCondition ref="F10:F51"/>
    </sortState>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AC868-5D1B-4EA5-AC32-1E37C5304B99}">
  <dimension ref="A1:J51"/>
  <sheetViews>
    <sheetView workbookViewId="0">
      <selection activeCell="H36" sqref="H36"/>
    </sheetView>
  </sheetViews>
  <sheetFormatPr defaultRowHeight="14.4" x14ac:dyDescent="0.3"/>
  <cols>
    <col min="1" max="1" width="9.44140625" customWidth="1"/>
    <col min="2" max="2" width="10.33203125" bestFit="1" customWidth="1"/>
    <col min="3" max="3" width="11.109375" bestFit="1" customWidth="1"/>
    <col min="4" max="4" width="10.44140625" customWidth="1"/>
    <col min="5" max="5" width="8.6640625" customWidth="1"/>
    <col min="6" max="6" width="12.88671875" customWidth="1"/>
    <col min="7" max="7" width="10.21875" customWidth="1"/>
    <col min="8" max="8" width="11.44140625" customWidth="1"/>
    <col min="9" max="9" width="10.21875" customWidth="1"/>
    <col min="10" max="10" width="10.44140625" customWidth="1"/>
  </cols>
  <sheetData>
    <row r="1" spans="1:10" x14ac:dyDescent="0.3">
      <c r="A1" s="26" t="s">
        <v>0</v>
      </c>
      <c r="B1" s="27" t="s">
        <v>1</v>
      </c>
      <c r="C1" s="28" t="s">
        <v>2</v>
      </c>
      <c r="D1" s="28" t="s">
        <v>3</v>
      </c>
      <c r="E1" s="28" t="s">
        <v>4</v>
      </c>
      <c r="F1" s="28" t="s">
        <v>5</v>
      </c>
      <c r="G1" s="28" t="s">
        <v>6</v>
      </c>
      <c r="H1" s="29" t="s">
        <v>7</v>
      </c>
      <c r="I1" s="28" t="s">
        <v>8</v>
      </c>
      <c r="J1" s="30" t="s">
        <v>9</v>
      </c>
    </row>
    <row r="2" spans="1:10" x14ac:dyDescent="0.3">
      <c r="A2" s="24" t="s">
        <v>10</v>
      </c>
      <c r="B2" s="6">
        <v>46235</v>
      </c>
      <c r="C2" s="7" t="s">
        <v>11</v>
      </c>
      <c r="D2" s="7" t="s">
        <v>12</v>
      </c>
      <c r="E2" s="7" t="s">
        <v>13</v>
      </c>
      <c r="F2" s="7" t="s">
        <v>14</v>
      </c>
      <c r="G2" s="7">
        <v>2</v>
      </c>
      <c r="H2" s="16">
        <v>55000</v>
      </c>
      <c r="I2" s="8">
        <v>0.05</v>
      </c>
      <c r="J2" s="25" t="s">
        <v>15</v>
      </c>
    </row>
    <row r="3" spans="1:10" x14ac:dyDescent="0.3">
      <c r="A3" s="24" t="s">
        <v>16</v>
      </c>
      <c r="B3" s="6">
        <v>46235</v>
      </c>
      <c r="C3" s="7" t="s">
        <v>17</v>
      </c>
      <c r="D3" s="7" t="s">
        <v>12</v>
      </c>
      <c r="E3" s="7" t="s">
        <v>18</v>
      </c>
      <c r="F3" s="7" t="s">
        <v>19</v>
      </c>
      <c r="G3" s="7">
        <v>3</v>
      </c>
      <c r="H3" s="16">
        <v>22000</v>
      </c>
      <c r="I3" s="8">
        <v>0.1</v>
      </c>
      <c r="J3" s="25" t="s">
        <v>20</v>
      </c>
    </row>
    <row r="4" spans="1:10" x14ac:dyDescent="0.3">
      <c r="A4" s="24" t="s">
        <v>21</v>
      </c>
      <c r="B4" s="6">
        <v>46236</v>
      </c>
      <c r="C4" s="7" t="s">
        <v>22</v>
      </c>
      <c r="D4" s="7" t="s">
        <v>12</v>
      </c>
      <c r="E4" s="7" t="s">
        <v>23</v>
      </c>
      <c r="F4" s="7" t="s">
        <v>24</v>
      </c>
      <c r="G4" s="7">
        <v>5</v>
      </c>
      <c r="H4" s="16">
        <v>2500</v>
      </c>
      <c r="I4" s="8">
        <v>0.05</v>
      </c>
      <c r="J4" s="25" t="s">
        <v>15</v>
      </c>
    </row>
    <row r="5" spans="1:10" x14ac:dyDescent="0.3">
      <c r="A5" s="24" t="s">
        <v>25</v>
      </c>
      <c r="B5" s="6">
        <v>46236</v>
      </c>
      <c r="C5" s="7" t="s">
        <v>26</v>
      </c>
      <c r="D5" s="7" t="s">
        <v>27</v>
      </c>
      <c r="E5" s="7" t="s">
        <v>28</v>
      </c>
      <c r="F5" s="7" t="s">
        <v>29</v>
      </c>
      <c r="G5" s="7">
        <v>6</v>
      </c>
      <c r="H5" s="16">
        <v>900</v>
      </c>
      <c r="I5" s="8">
        <v>0.15</v>
      </c>
      <c r="J5" s="25" t="s">
        <v>30</v>
      </c>
    </row>
    <row r="6" spans="1:10" x14ac:dyDescent="0.3">
      <c r="A6" s="24" t="s">
        <v>31</v>
      </c>
      <c r="B6" s="6">
        <v>46237</v>
      </c>
      <c r="C6" s="7" t="s">
        <v>32</v>
      </c>
      <c r="D6" s="7" t="s">
        <v>27</v>
      </c>
      <c r="E6" s="7" t="s">
        <v>13</v>
      </c>
      <c r="F6" s="7" t="s">
        <v>14</v>
      </c>
      <c r="G6" s="7">
        <v>4</v>
      </c>
      <c r="H6" s="16">
        <v>1800</v>
      </c>
      <c r="I6" s="8">
        <v>0.1</v>
      </c>
      <c r="J6" s="25" t="s">
        <v>20</v>
      </c>
    </row>
    <row r="7" spans="1:10" hidden="1" x14ac:dyDescent="0.3">
      <c r="A7" s="24" t="s">
        <v>33</v>
      </c>
      <c r="B7" s="6">
        <v>46237</v>
      </c>
      <c r="C7" s="7" t="s">
        <v>34</v>
      </c>
      <c r="D7" s="7" t="s">
        <v>35</v>
      </c>
      <c r="E7" s="7" t="s">
        <v>18</v>
      </c>
      <c r="F7" s="7" t="s">
        <v>19</v>
      </c>
      <c r="G7" s="7">
        <v>10</v>
      </c>
      <c r="H7" s="16">
        <v>750</v>
      </c>
      <c r="I7" s="8">
        <v>0.05</v>
      </c>
      <c r="J7" s="25" t="s">
        <v>15</v>
      </c>
    </row>
    <row r="8" spans="1:10" hidden="1" x14ac:dyDescent="0.3">
      <c r="A8" s="24" t="s">
        <v>36</v>
      </c>
      <c r="B8" s="6">
        <v>46238</v>
      </c>
      <c r="C8" s="7" t="s">
        <v>37</v>
      </c>
      <c r="D8" s="7" t="s">
        <v>38</v>
      </c>
      <c r="E8" s="7" t="s">
        <v>23</v>
      </c>
      <c r="F8" s="7" t="s">
        <v>24</v>
      </c>
      <c r="G8" s="7">
        <v>2</v>
      </c>
      <c r="H8" s="16">
        <v>3200</v>
      </c>
      <c r="I8" s="8">
        <v>0.08</v>
      </c>
      <c r="J8" s="25" t="s">
        <v>20</v>
      </c>
    </row>
    <row r="9" spans="1:10" x14ac:dyDescent="0.3">
      <c r="A9" s="24" t="s">
        <v>39</v>
      </c>
      <c r="B9" s="6">
        <v>46238</v>
      </c>
      <c r="C9" s="7" t="s">
        <v>40</v>
      </c>
      <c r="D9" s="7" t="s">
        <v>27</v>
      </c>
      <c r="E9" s="7" t="s">
        <v>28</v>
      </c>
      <c r="F9" s="7" t="s">
        <v>29</v>
      </c>
      <c r="G9" s="7">
        <v>3</v>
      </c>
      <c r="H9" s="16">
        <v>2500</v>
      </c>
      <c r="I9" s="8">
        <v>0.12</v>
      </c>
      <c r="J9" s="25" t="s">
        <v>15</v>
      </c>
    </row>
    <row r="10" spans="1:10" x14ac:dyDescent="0.3">
      <c r="A10" s="24" t="s">
        <v>41</v>
      </c>
      <c r="B10" s="6">
        <v>46239</v>
      </c>
      <c r="C10" s="7" t="s">
        <v>42</v>
      </c>
      <c r="D10" s="7" t="s">
        <v>12</v>
      </c>
      <c r="E10" s="7" t="s">
        <v>13</v>
      </c>
      <c r="F10" s="7" t="s">
        <v>14</v>
      </c>
      <c r="G10" s="7">
        <v>5</v>
      </c>
      <c r="H10" s="16">
        <v>1500</v>
      </c>
      <c r="I10" s="8">
        <v>0.05</v>
      </c>
      <c r="J10" s="25" t="s">
        <v>30</v>
      </c>
    </row>
    <row r="11" spans="1:10" x14ac:dyDescent="0.3">
      <c r="A11" s="24" t="s">
        <v>43</v>
      </c>
      <c r="B11" s="6">
        <v>46239</v>
      </c>
      <c r="C11" s="7" t="s">
        <v>44</v>
      </c>
      <c r="D11" s="7" t="s">
        <v>12</v>
      </c>
      <c r="E11" s="7" t="s">
        <v>18</v>
      </c>
      <c r="F11" s="7" t="s">
        <v>19</v>
      </c>
      <c r="G11" s="7">
        <v>8</v>
      </c>
      <c r="H11" s="16">
        <v>700</v>
      </c>
      <c r="I11" s="8">
        <v>0.1</v>
      </c>
      <c r="J11" s="25" t="s">
        <v>15</v>
      </c>
    </row>
    <row r="12" spans="1:10" x14ac:dyDescent="0.3">
      <c r="A12" s="24" t="s">
        <v>45</v>
      </c>
      <c r="B12" s="6">
        <v>46240</v>
      </c>
      <c r="C12" s="7" t="s">
        <v>11</v>
      </c>
      <c r="D12" s="7" t="s">
        <v>12</v>
      </c>
      <c r="E12" s="7" t="s">
        <v>23</v>
      </c>
      <c r="F12" s="7" t="s">
        <v>24</v>
      </c>
      <c r="G12" s="7">
        <v>1</v>
      </c>
      <c r="H12" s="16">
        <v>62000</v>
      </c>
      <c r="I12" s="8">
        <v>7.0000000000000007E-2</v>
      </c>
      <c r="J12" s="25" t="s">
        <v>20</v>
      </c>
    </row>
    <row r="13" spans="1:10" x14ac:dyDescent="0.3">
      <c r="A13" s="24" t="s">
        <v>46</v>
      </c>
      <c r="B13" s="6">
        <v>46240</v>
      </c>
      <c r="C13" s="7" t="s">
        <v>17</v>
      </c>
      <c r="D13" s="7" t="s">
        <v>12</v>
      </c>
      <c r="E13" s="7" t="s">
        <v>28</v>
      </c>
      <c r="F13" s="7" t="s">
        <v>29</v>
      </c>
      <c r="G13" s="7">
        <v>4</v>
      </c>
      <c r="H13" s="16">
        <v>18000</v>
      </c>
      <c r="I13" s="8">
        <v>0.05</v>
      </c>
      <c r="J13" s="25" t="s">
        <v>15</v>
      </c>
    </row>
    <row r="14" spans="1:10" x14ac:dyDescent="0.3">
      <c r="A14" s="24" t="s">
        <v>47</v>
      </c>
      <c r="B14" s="6">
        <v>46241</v>
      </c>
      <c r="C14" s="7" t="s">
        <v>48</v>
      </c>
      <c r="D14" s="7" t="s">
        <v>27</v>
      </c>
      <c r="E14" s="7" t="s">
        <v>13</v>
      </c>
      <c r="F14" s="7" t="s">
        <v>14</v>
      </c>
      <c r="G14" s="7">
        <v>2</v>
      </c>
      <c r="H14" s="16">
        <v>3500</v>
      </c>
      <c r="I14" s="8">
        <v>0.1</v>
      </c>
      <c r="J14" s="25" t="s">
        <v>30</v>
      </c>
    </row>
    <row r="15" spans="1:10" hidden="1" x14ac:dyDescent="0.3">
      <c r="A15" s="24" t="s">
        <v>49</v>
      </c>
      <c r="B15" s="6">
        <v>46241</v>
      </c>
      <c r="C15" s="7" t="s">
        <v>50</v>
      </c>
      <c r="D15" s="7" t="s">
        <v>35</v>
      </c>
      <c r="E15" s="7" t="s">
        <v>18</v>
      </c>
      <c r="F15" s="7" t="s">
        <v>19</v>
      </c>
      <c r="G15" s="7">
        <v>12</v>
      </c>
      <c r="H15" s="16">
        <v>160</v>
      </c>
      <c r="I15" s="8">
        <v>0.05</v>
      </c>
      <c r="J15" s="25" t="s">
        <v>15</v>
      </c>
    </row>
    <row r="16" spans="1:10" hidden="1" x14ac:dyDescent="0.3">
      <c r="A16" s="24" t="s">
        <v>51</v>
      </c>
      <c r="B16" s="6">
        <v>46242</v>
      </c>
      <c r="C16" s="7" t="s">
        <v>52</v>
      </c>
      <c r="D16" s="7" t="s">
        <v>38</v>
      </c>
      <c r="E16" s="7" t="s">
        <v>23</v>
      </c>
      <c r="F16" s="7" t="s">
        <v>24</v>
      </c>
      <c r="G16" s="7">
        <v>3</v>
      </c>
      <c r="H16" s="16">
        <v>2800</v>
      </c>
      <c r="I16" s="8">
        <v>0.08</v>
      </c>
      <c r="J16" s="25" t="s">
        <v>20</v>
      </c>
    </row>
    <row r="17" spans="1:10" x14ac:dyDescent="0.3">
      <c r="A17" s="24" t="s">
        <v>53</v>
      </c>
      <c r="B17" s="6">
        <v>46242</v>
      </c>
      <c r="C17" s="7" t="s">
        <v>40</v>
      </c>
      <c r="D17" s="7" t="s">
        <v>27</v>
      </c>
      <c r="E17" s="7" t="s">
        <v>28</v>
      </c>
      <c r="F17" s="7" t="s">
        <v>29</v>
      </c>
      <c r="G17" s="7">
        <v>5</v>
      </c>
      <c r="H17" s="16">
        <v>2200</v>
      </c>
      <c r="I17" s="8">
        <v>0.15</v>
      </c>
      <c r="J17" s="25" t="s">
        <v>15</v>
      </c>
    </row>
    <row r="18" spans="1:10" x14ac:dyDescent="0.3">
      <c r="A18" s="24" t="s">
        <v>54</v>
      </c>
      <c r="B18" s="6">
        <v>46243</v>
      </c>
      <c r="C18" s="7" t="s">
        <v>55</v>
      </c>
      <c r="D18" s="7" t="s">
        <v>12</v>
      </c>
      <c r="E18" s="7" t="s">
        <v>13</v>
      </c>
      <c r="F18" s="7" t="s">
        <v>14</v>
      </c>
      <c r="G18" s="7">
        <v>2</v>
      </c>
      <c r="H18" s="16">
        <v>12500</v>
      </c>
      <c r="I18" s="8">
        <v>0.1</v>
      </c>
      <c r="J18" s="25" t="s">
        <v>20</v>
      </c>
    </row>
    <row r="19" spans="1:10" x14ac:dyDescent="0.3">
      <c r="A19" s="24" t="s">
        <v>56</v>
      </c>
      <c r="B19" s="6">
        <v>46243</v>
      </c>
      <c r="C19" s="7" t="s">
        <v>42</v>
      </c>
      <c r="D19" s="7" t="s">
        <v>12</v>
      </c>
      <c r="E19" s="7" t="s">
        <v>18</v>
      </c>
      <c r="F19" s="7" t="s">
        <v>19</v>
      </c>
      <c r="G19" s="7">
        <v>7</v>
      </c>
      <c r="H19" s="16">
        <v>1700</v>
      </c>
      <c r="I19" s="8">
        <v>0.05</v>
      </c>
      <c r="J19" s="25" t="s">
        <v>30</v>
      </c>
    </row>
    <row r="20" spans="1:10" x14ac:dyDescent="0.3">
      <c r="A20" s="24" t="s">
        <v>57</v>
      </c>
      <c r="B20" s="6">
        <v>46244</v>
      </c>
      <c r="C20" s="7" t="s">
        <v>26</v>
      </c>
      <c r="D20" s="7" t="s">
        <v>27</v>
      </c>
      <c r="E20" s="7" t="s">
        <v>23</v>
      </c>
      <c r="F20" s="7" t="s">
        <v>24</v>
      </c>
      <c r="G20" s="7">
        <v>8</v>
      </c>
      <c r="H20" s="16">
        <v>850</v>
      </c>
      <c r="I20" s="8">
        <v>0.1</v>
      </c>
      <c r="J20" s="25" t="s">
        <v>15</v>
      </c>
    </row>
    <row r="21" spans="1:10" hidden="1" x14ac:dyDescent="0.3">
      <c r="A21" s="24" t="s">
        <v>58</v>
      </c>
      <c r="B21" s="6">
        <v>46244</v>
      </c>
      <c r="C21" s="7" t="s">
        <v>34</v>
      </c>
      <c r="D21" s="7" t="s">
        <v>35</v>
      </c>
      <c r="E21" s="7" t="s">
        <v>28</v>
      </c>
      <c r="F21" s="7" t="s">
        <v>29</v>
      </c>
      <c r="G21" s="7">
        <v>15</v>
      </c>
      <c r="H21" s="16">
        <v>720</v>
      </c>
      <c r="I21" s="8">
        <v>0.05</v>
      </c>
      <c r="J21" s="25" t="s">
        <v>20</v>
      </c>
    </row>
    <row r="22" spans="1:10" x14ac:dyDescent="0.3">
      <c r="A22" s="24" t="s">
        <v>59</v>
      </c>
      <c r="B22" s="6">
        <v>46245</v>
      </c>
      <c r="C22" s="7" t="s">
        <v>17</v>
      </c>
      <c r="D22" s="7" t="s">
        <v>12</v>
      </c>
      <c r="E22" s="7" t="s">
        <v>13</v>
      </c>
      <c r="F22" s="7" t="s">
        <v>14</v>
      </c>
      <c r="G22" s="7">
        <v>2</v>
      </c>
      <c r="H22" s="16">
        <v>24000</v>
      </c>
      <c r="I22" s="8">
        <v>0.08</v>
      </c>
      <c r="J22" s="25" t="s">
        <v>15</v>
      </c>
    </row>
    <row r="23" spans="1:10" x14ac:dyDescent="0.3">
      <c r="A23" s="24" t="s">
        <v>60</v>
      </c>
      <c r="B23" s="6">
        <v>46245</v>
      </c>
      <c r="C23" s="7" t="s">
        <v>11</v>
      </c>
      <c r="D23" s="7" t="s">
        <v>12</v>
      </c>
      <c r="E23" s="7" t="s">
        <v>18</v>
      </c>
      <c r="F23" s="7" t="s">
        <v>19</v>
      </c>
      <c r="G23" s="7">
        <v>1</v>
      </c>
      <c r="H23" s="16">
        <v>58000</v>
      </c>
      <c r="I23" s="8">
        <v>0.05</v>
      </c>
      <c r="J23" s="25" t="s">
        <v>20</v>
      </c>
    </row>
    <row r="24" spans="1:10" x14ac:dyDescent="0.3">
      <c r="A24" s="24" t="s">
        <v>61</v>
      </c>
      <c r="B24" s="6">
        <v>46246</v>
      </c>
      <c r="C24" s="7" t="s">
        <v>32</v>
      </c>
      <c r="D24" s="7" t="s">
        <v>27</v>
      </c>
      <c r="E24" s="7" t="s">
        <v>23</v>
      </c>
      <c r="F24" s="7" t="s">
        <v>24</v>
      </c>
      <c r="G24" s="7">
        <v>6</v>
      </c>
      <c r="H24" s="16">
        <v>1600</v>
      </c>
      <c r="I24" s="8">
        <v>0.12</v>
      </c>
      <c r="J24" s="25" t="s">
        <v>30</v>
      </c>
    </row>
    <row r="25" spans="1:10" hidden="1" x14ac:dyDescent="0.3">
      <c r="A25" s="24" t="s">
        <v>62</v>
      </c>
      <c r="B25" s="6">
        <v>46246</v>
      </c>
      <c r="C25" s="7" t="s">
        <v>37</v>
      </c>
      <c r="D25" s="6" t="s">
        <v>38</v>
      </c>
      <c r="E25" s="7" t="s">
        <v>28</v>
      </c>
      <c r="F25" s="7" t="s">
        <v>29</v>
      </c>
      <c r="G25" s="7">
        <v>2</v>
      </c>
      <c r="H25" s="16">
        <v>3500</v>
      </c>
      <c r="I25" s="8">
        <v>0.1</v>
      </c>
      <c r="J25" s="25" t="s">
        <v>15</v>
      </c>
    </row>
    <row r="26" spans="1:10" x14ac:dyDescent="0.3">
      <c r="A26" s="24" t="s">
        <v>63</v>
      </c>
      <c r="B26" s="6">
        <v>46247</v>
      </c>
      <c r="C26" s="7" t="s">
        <v>22</v>
      </c>
      <c r="D26" s="7" t="s">
        <v>12</v>
      </c>
      <c r="E26" s="7" t="s">
        <v>13</v>
      </c>
      <c r="F26" s="7" t="s">
        <v>14</v>
      </c>
      <c r="G26" s="7">
        <v>10</v>
      </c>
      <c r="H26" s="16">
        <v>2200</v>
      </c>
      <c r="I26" s="8">
        <v>0.05</v>
      </c>
      <c r="J26" s="25" t="s">
        <v>20</v>
      </c>
    </row>
    <row r="27" spans="1:10" x14ac:dyDescent="0.3">
      <c r="A27" s="24" t="s">
        <v>64</v>
      </c>
      <c r="B27" s="6">
        <v>46247</v>
      </c>
      <c r="C27" s="7" t="s">
        <v>40</v>
      </c>
      <c r="D27" s="7" t="s">
        <v>27</v>
      </c>
      <c r="E27" s="7" t="s">
        <v>18</v>
      </c>
      <c r="F27" s="7" t="s">
        <v>19</v>
      </c>
      <c r="G27" s="7">
        <v>4</v>
      </c>
      <c r="H27" s="16">
        <v>2800</v>
      </c>
      <c r="I27" s="8">
        <v>0.15</v>
      </c>
      <c r="J27" s="25" t="s">
        <v>15</v>
      </c>
    </row>
    <row r="28" spans="1:10" x14ac:dyDescent="0.3">
      <c r="A28" s="24" t="s">
        <v>65</v>
      </c>
      <c r="B28" s="6">
        <v>46248</v>
      </c>
      <c r="C28" s="7" t="s">
        <v>44</v>
      </c>
      <c r="D28" s="7" t="s">
        <v>12</v>
      </c>
      <c r="E28" s="7" t="s">
        <v>23</v>
      </c>
      <c r="F28" s="7" t="s">
        <v>24</v>
      </c>
      <c r="G28" s="7">
        <v>12</v>
      </c>
      <c r="H28" s="16">
        <v>650</v>
      </c>
      <c r="I28" s="8">
        <v>0.05</v>
      </c>
      <c r="J28" s="25" t="s">
        <v>30</v>
      </c>
    </row>
    <row r="29" spans="1:10" x14ac:dyDescent="0.3">
      <c r="A29" s="24" t="s">
        <v>66</v>
      </c>
      <c r="B29" s="6">
        <v>46248</v>
      </c>
      <c r="C29" s="7" t="s">
        <v>48</v>
      </c>
      <c r="D29" s="7" t="s">
        <v>27</v>
      </c>
      <c r="E29" s="7" t="s">
        <v>28</v>
      </c>
      <c r="F29" s="7" t="s">
        <v>29</v>
      </c>
      <c r="G29" s="7">
        <v>3</v>
      </c>
      <c r="H29" s="16">
        <v>4200</v>
      </c>
      <c r="I29" s="8">
        <v>0.1</v>
      </c>
      <c r="J29" s="25" t="s">
        <v>20</v>
      </c>
    </row>
    <row r="30" spans="1:10" hidden="1" x14ac:dyDescent="0.3">
      <c r="A30" s="24" t="s">
        <v>67</v>
      </c>
      <c r="B30" s="6">
        <v>46249</v>
      </c>
      <c r="C30" s="7" t="s">
        <v>34</v>
      </c>
      <c r="D30" s="7" t="s">
        <v>35</v>
      </c>
      <c r="E30" s="7" t="s">
        <v>13</v>
      </c>
      <c r="F30" s="7" t="s">
        <v>14</v>
      </c>
      <c r="G30" s="7">
        <v>20</v>
      </c>
      <c r="H30" s="16">
        <v>700</v>
      </c>
      <c r="I30" s="8">
        <v>0.05</v>
      </c>
      <c r="J30" s="25" t="s">
        <v>15</v>
      </c>
    </row>
    <row r="31" spans="1:10" hidden="1" x14ac:dyDescent="0.3">
      <c r="A31" s="24" t="s">
        <v>68</v>
      </c>
      <c r="B31" s="6">
        <v>46249</v>
      </c>
      <c r="C31" s="7" t="s">
        <v>52</v>
      </c>
      <c r="D31" s="7" t="s">
        <v>38</v>
      </c>
      <c r="E31" s="7" t="s">
        <v>18</v>
      </c>
      <c r="F31" s="7" t="s">
        <v>19</v>
      </c>
      <c r="G31" s="7">
        <v>4</v>
      </c>
      <c r="H31" s="16">
        <v>3000</v>
      </c>
      <c r="I31" s="8">
        <v>0.08</v>
      </c>
      <c r="J31" s="25" t="s">
        <v>20</v>
      </c>
    </row>
    <row r="32" spans="1:10" x14ac:dyDescent="0.3">
      <c r="A32" s="24" t="s">
        <v>69</v>
      </c>
      <c r="B32" s="6">
        <v>46250</v>
      </c>
      <c r="C32" s="7" t="s">
        <v>55</v>
      </c>
      <c r="D32" s="7" t="s">
        <v>12</v>
      </c>
      <c r="E32" s="7" t="s">
        <v>23</v>
      </c>
      <c r="F32" s="7" t="s">
        <v>24</v>
      </c>
      <c r="G32" s="7">
        <v>3</v>
      </c>
      <c r="H32" s="16">
        <v>11500</v>
      </c>
      <c r="I32" s="8">
        <v>0.1</v>
      </c>
      <c r="J32" s="25" t="s">
        <v>15</v>
      </c>
    </row>
    <row r="33" spans="1:10" x14ac:dyDescent="0.3">
      <c r="A33" s="24" t="s">
        <v>70</v>
      </c>
      <c r="B33" s="6">
        <v>46250</v>
      </c>
      <c r="C33" s="7" t="s">
        <v>26</v>
      </c>
      <c r="D33" s="7" t="s">
        <v>27</v>
      </c>
      <c r="E33" s="7" t="s">
        <v>28</v>
      </c>
      <c r="F33" s="7" t="s">
        <v>29</v>
      </c>
      <c r="G33" s="7">
        <v>10</v>
      </c>
      <c r="H33" s="16">
        <v>950</v>
      </c>
      <c r="I33" s="8">
        <v>0.15</v>
      </c>
      <c r="J33" s="25" t="s">
        <v>30</v>
      </c>
    </row>
    <row r="34" spans="1:10" x14ac:dyDescent="0.3">
      <c r="A34" s="24" t="s">
        <v>71</v>
      </c>
      <c r="B34" s="6">
        <v>46251</v>
      </c>
      <c r="C34" s="7" t="s">
        <v>17</v>
      </c>
      <c r="D34" s="7" t="s">
        <v>12</v>
      </c>
      <c r="E34" s="7" t="s">
        <v>13</v>
      </c>
      <c r="F34" s="7" t="s">
        <v>14</v>
      </c>
      <c r="G34" s="7">
        <v>5</v>
      </c>
      <c r="H34" s="16">
        <v>21000</v>
      </c>
      <c r="I34" s="8">
        <v>7.0000000000000007E-2</v>
      </c>
      <c r="J34" s="25" t="s">
        <v>20</v>
      </c>
    </row>
    <row r="35" spans="1:10" hidden="1" x14ac:dyDescent="0.3">
      <c r="A35" s="24" t="s">
        <v>72</v>
      </c>
      <c r="B35" s="6">
        <v>46251</v>
      </c>
      <c r="C35" s="7" t="s">
        <v>50</v>
      </c>
      <c r="D35" s="7" t="s">
        <v>35</v>
      </c>
      <c r="E35" s="7" t="s">
        <v>18</v>
      </c>
      <c r="F35" s="7" t="s">
        <v>19</v>
      </c>
      <c r="G35" s="7">
        <v>20</v>
      </c>
      <c r="H35" s="16">
        <v>155</v>
      </c>
      <c r="I35" s="8">
        <v>0.05</v>
      </c>
      <c r="J35" s="25" t="s">
        <v>15</v>
      </c>
    </row>
    <row r="36" spans="1:10" x14ac:dyDescent="0.3">
      <c r="A36" s="24" t="s">
        <v>73</v>
      </c>
      <c r="B36" s="6">
        <v>46252</v>
      </c>
      <c r="C36" s="7" t="s">
        <v>11</v>
      </c>
      <c r="D36" s="7" t="s">
        <v>12</v>
      </c>
      <c r="E36" s="7" t="s">
        <v>23</v>
      </c>
      <c r="F36" s="7" t="s">
        <v>24</v>
      </c>
      <c r="G36" s="7">
        <v>2</v>
      </c>
      <c r="H36" s="16">
        <v>60000</v>
      </c>
      <c r="I36" s="8">
        <v>0.1</v>
      </c>
      <c r="J36" s="25" t="s">
        <v>20</v>
      </c>
    </row>
    <row r="37" spans="1:10" x14ac:dyDescent="0.3">
      <c r="A37" s="24" t="s">
        <v>74</v>
      </c>
      <c r="B37" s="6">
        <v>46252</v>
      </c>
      <c r="C37" s="7" t="s">
        <v>32</v>
      </c>
      <c r="D37" s="7" t="s">
        <v>27</v>
      </c>
      <c r="E37" s="7" t="s">
        <v>28</v>
      </c>
      <c r="F37" s="7" t="s">
        <v>29</v>
      </c>
      <c r="G37" s="7">
        <v>5</v>
      </c>
      <c r="H37" s="16">
        <v>1900</v>
      </c>
      <c r="I37" s="8">
        <v>0.12</v>
      </c>
      <c r="J37" s="25" t="s">
        <v>15</v>
      </c>
    </row>
    <row r="38" spans="1:10" x14ac:dyDescent="0.3">
      <c r="A38" s="24" t="s">
        <v>75</v>
      </c>
      <c r="B38" s="6">
        <v>46253</v>
      </c>
      <c r="C38" s="7" t="s">
        <v>42</v>
      </c>
      <c r="D38" s="7" t="s">
        <v>12</v>
      </c>
      <c r="E38" s="7" t="s">
        <v>13</v>
      </c>
      <c r="F38" s="7" t="s">
        <v>14</v>
      </c>
      <c r="G38" s="7">
        <v>6</v>
      </c>
      <c r="H38" s="16">
        <v>1600</v>
      </c>
      <c r="I38" s="8">
        <v>0.05</v>
      </c>
      <c r="J38" s="25" t="s">
        <v>30</v>
      </c>
    </row>
    <row r="39" spans="1:10" hidden="1" x14ac:dyDescent="0.3">
      <c r="A39" s="24" t="s">
        <v>76</v>
      </c>
      <c r="B39" s="6">
        <v>46253</v>
      </c>
      <c r="C39" s="7" t="s">
        <v>37</v>
      </c>
      <c r="D39" s="7" t="s">
        <v>38</v>
      </c>
      <c r="E39" s="7" t="s">
        <v>18</v>
      </c>
      <c r="F39" s="7" t="s">
        <v>19</v>
      </c>
      <c r="G39" s="7">
        <v>3</v>
      </c>
      <c r="H39" s="16">
        <v>3300</v>
      </c>
      <c r="I39" s="8">
        <v>0.08</v>
      </c>
      <c r="J39" s="25" t="s">
        <v>20</v>
      </c>
    </row>
    <row r="40" spans="1:10" x14ac:dyDescent="0.3">
      <c r="A40" s="24" t="s">
        <v>77</v>
      </c>
      <c r="B40" s="6">
        <v>46254</v>
      </c>
      <c r="C40" s="7" t="s">
        <v>40</v>
      </c>
      <c r="D40" s="7" t="s">
        <v>27</v>
      </c>
      <c r="E40" s="7" t="s">
        <v>23</v>
      </c>
      <c r="F40" s="7" t="s">
        <v>24</v>
      </c>
      <c r="G40" s="7">
        <v>7</v>
      </c>
      <c r="H40" s="16">
        <v>2400</v>
      </c>
      <c r="I40" s="8">
        <v>0.1</v>
      </c>
      <c r="J40" s="25" t="s">
        <v>15</v>
      </c>
    </row>
    <row r="41" spans="1:10" hidden="1" x14ac:dyDescent="0.3">
      <c r="A41" s="24" t="s">
        <v>78</v>
      </c>
      <c r="B41" s="6">
        <v>46254</v>
      </c>
      <c r="C41" s="7" t="s">
        <v>34</v>
      </c>
      <c r="D41" s="7" t="s">
        <v>35</v>
      </c>
      <c r="E41" s="7" t="s">
        <v>28</v>
      </c>
      <c r="F41" s="7" t="s">
        <v>29</v>
      </c>
      <c r="G41" s="7">
        <v>18</v>
      </c>
      <c r="H41" s="16">
        <v>680</v>
      </c>
      <c r="I41" s="8">
        <v>0.05</v>
      </c>
      <c r="J41" s="25" t="s">
        <v>30</v>
      </c>
    </row>
    <row r="42" spans="1:10" x14ac:dyDescent="0.3">
      <c r="A42" s="24" t="s">
        <v>79</v>
      </c>
      <c r="B42" s="6">
        <v>46255</v>
      </c>
      <c r="C42" s="7" t="s">
        <v>17</v>
      </c>
      <c r="D42" s="7" t="s">
        <v>12</v>
      </c>
      <c r="E42" s="7" t="s">
        <v>13</v>
      </c>
      <c r="F42" s="7" t="s">
        <v>14</v>
      </c>
      <c r="G42" s="7">
        <v>3</v>
      </c>
      <c r="H42" s="16">
        <v>23000</v>
      </c>
      <c r="I42" s="8">
        <v>0.08</v>
      </c>
      <c r="J42" s="25" t="s">
        <v>15</v>
      </c>
    </row>
    <row r="43" spans="1:10" x14ac:dyDescent="0.3">
      <c r="A43" s="24" t="s">
        <v>80</v>
      </c>
      <c r="B43" s="6">
        <v>46255</v>
      </c>
      <c r="C43" s="7" t="s">
        <v>22</v>
      </c>
      <c r="D43" s="7" t="s">
        <v>12</v>
      </c>
      <c r="E43" s="7" t="s">
        <v>18</v>
      </c>
      <c r="F43" s="7" t="s">
        <v>19</v>
      </c>
      <c r="G43" s="7">
        <v>9</v>
      </c>
      <c r="H43" s="16">
        <v>2400</v>
      </c>
      <c r="I43" s="8">
        <v>0.1</v>
      </c>
      <c r="J43" s="25" t="s">
        <v>20</v>
      </c>
    </row>
    <row r="44" spans="1:10" x14ac:dyDescent="0.3">
      <c r="A44" s="24" t="s">
        <v>81</v>
      </c>
      <c r="B44" s="6">
        <v>46256</v>
      </c>
      <c r="C44" s="7" t="s">
        <v>48</v>
      </c>
      <c r="D44" s="7" t="s">
        <v>27</v>
      </c>
      <c r="E44" s="7" t="s">
        <v>23</v>
      </c>
      <c r="F44" s="7" t="s">
        <v>24</v>
      </c>
      <c r="G44" s="7">
        <v>4</v>
      </c>
      <c r="H44" s="16">
        <v>3800</v>
      </c>
      <c r="I44" s="8">
        <v>0.15</v>
      </c>
      <c r="J44" s="25" t="s">
        <v>15</v>
      </c>
    </row>
    <row r="45" spans="1:10" hidden="1" x14ac:dyDescent="0.3">
      <c r="A45" s="24" t="s">
        <v>82</v>
      </c>
      <c r="B45" s="6">
        <v>46256</v>
      </c>
      <c r="C45" s="7" t="s">
        <v>52</v>
      </c>
      <c r="D45" s="7" t="s">
        <v>38</v>
      </c>
      <c r="E45" s="7" t="s">
        <v>28</v>
      </c>
      <c r="F45" s="7" t="s">
        <v>29</v>
      </c>
      <c r="G45" s="7">
        <v>2</v>
      </c>
      <c r="H45" s="16">
        <v>3100</v>
      </c>
      <c r="I45" s="8">
        <v>0.05</v>
      </c>
      <c r="J45" s="25" t="s">
        <v>20</v>
      </c>
    </row>
    <row r="46" spans="1:10" x14ac:dyDescent="0.3">
      <c r="A46" s="24" t="s">
        <v>83</v>
      </c>
      <c r="B46" s="6">
        <v>46257</v>
      </c>
      <c r="C46" s="7" t="s">
        <v>11</v>
      </c>
      <c r="D46" s="7" t="s">
        <v>12</v>
      </c>
      <c r="E46" s="7" t="s">
        <v>13</v>
      </c>
      <c r="F46" s="7" t="s">
        <v>14</v>
      </c>
      <c r="G46" s="7">
        <v>1</v>
      </c>
      <c r="H46" s="16">
        <v>65000</v>
      </c>
      <c r="I46" s="8">
        <v>0.1</v>
      </c>
      <c r="J46" s="25" t="s">
        <v>15</v>
      </c>
    </row>
    <row r="47" spans="1:10" x14ac:dyDescent="0.3">
      <c r="A47" s="24" t="s">
        <v>84</v>
      </c>
      <c r="B47" s="6">
        <v>46257</v>
      </c>
      <c r="C47" s="7" t="s">
        <v>26</v>
      </c>
      <c r="D47" s="7" t="s">
        <v>27</v>
      </c>
      <c r="E47" s="7" t="s">
        <v>18</v>
      </c>
      <c r="F47" s="7" t="s">
        <v>19</v>
      </c>
      <c r="G47" s="7">
        <v>12</v>
      </c>
      <c r="H47" s="16">
        <v>800</v>
      </c>
      <c r="I47" s="8">
        <v>0.12</v>
      </c>
      <c r="J47" s="25" t="s">
        <v>30</v>
      </c>
    </row>
    <row r="48" spans="1:10" x14ac:dyDescent="0.3">
      <c r="A48" s="24" t="s">
        <v>85</v>
      </c>
      <c r="B48" s="6">
        <v>46258</v>
      </c>
      <c r="C48" s="7" t="s">
        <v>44</v>
      </c>
      <c r="D48" s="7" t="s">
        <v>12</v>
      </c>
      <c r="E48" s="7" t="s">
        <v>23</v>
      </c>
      <c r="F48" s="7" t="s">
        <v>24</v>
      </c>
      <c r="G48" s="7">
        <v>15</v>
      </c>
      <c r="H48" s="16">
        <v>600</v>
      </c>
      <c r="I48" s="8">
        <v>0.05</v>
      </c>
      <c r="J48" s="25" t="s">
        <v>15</v>
      </c>
    </row>
    <row r="49" spans="1:10" x14ac:dyDescent="0.3">
      <c r="A49" s="24" t="s">
        <v>86</v>
      </c>
      <c r="B49" s="6">
        <v>46258</v>
      </c>
      <c r="C49" s="7" t="s">
        <v>40</v>
      </c>
      <c r="D49" s="7" t="s">
        <v>27</v>
      </c>
      <c r="E49" s="7" t="s">
        <v>28</v>
      </c>
      <c r="F49" s="7" t="s">
        <v>29</v>
      </c>
      <c r="G49" s="7">
        <v>6</v>
      </c>
      <c r="H49" s="16">
        <v>2600</v>
      </c>
      <c r="I49" s="8">
        <v>0.1</v>
      </c>
      <c r="J49" s="25" t="s">
        <v>20</v>
      </c>
    </row>
    <row r="50" spans="1:10" hidden="1" x14ac:dyDescent="0.3">
      <c r="A50" s="24" t="s">
        <v>87</v>
      </c>
      <c r="B50" s="6">
        <v>46259</v>
      </c>
      <c r="C50" s="7" t="s">
        <v>34</v>
      </c>
      <c r="D50" s="7" t="s">
        <v>35</v>
      </c>
      <c r="E50" s="7" t="s">
        <v>13</v>
      </c>
      <c r="F50" s="7" t="s">
        <v>14</v>
      </c>
      <c r="G50" s="7">
        <v>25</v>
      </c>
      <c r="H50" s="16">
        <v>730</v>
      </c>
      <c r="I50" s="8">
        <v>0.05</v>
      </c>
      <c r="J50" s="25" t="s">
        <v>15</v>
      </c>
    </row>
    <row r="51" spans="1:10" x14ac:dyDescent="0.3">
      <c r="A51" s="31" t="s">
        <v>88</v>
      </c>
      <c r="B51" s="32">
        <v>46259</v>
      </c>
      <c r="C51" s="33" t="s">
        <v>55</v>
      </c>
      <c r="D51" s="33" t="s">
        <v>12</v>
      </c>
      <c r="E51" s="33" t="s">
        <v>18</v>
      </c>
      <c r="F51" s="33" t="s">
        <v>19</v>
      </c>
      <c r="G51" s="33">
        <v>2</v>
      </c>
      <c r="H51" s="34">
        <v>13000</v>
      </c>
      <c r="I51" s="35">
        <v>0.08</v>
      </c>
      <c r="J51" s="36" t="s">
        <v>20</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ACA80-061F-4D0C-A599-9452DEA9A34D}">
  <dimension ref="A1:N51"/>
  <sheetViews>
    <sheetView tabSelected="1" workbookViewId="0"/>
  </sheetViews>
  <sheetFormatPr defaultRowHeight="14.4" x14ac:dyDescent="0.3"/>
  <cols>
    <col min="1" max="1" width="7.6640625" bestFit="1" customWidth="1"/>
    <col min="2" max="2" width="10.33203125" bestFit="1" customWidth="1"/>
    <col min="3" max="3" width="11.109375" bestFit="1" customWidth="1"/>
    <col min="4" max="4" width="9.88671875" bestFit="1" customWidth="1"/>
    <col min="5" max="5" width="6.77734375" bestFit="1" customWidth="1"/>
    <col min="6" max="6" width="11" bestFit="1" customWidth="1"/>
    <col min="7" max="7" width="8.33203125" bestFit="1" customWidth="1"/>
    <col min="8" max="8" width="11.33203125" bestFit="1" customWidth="1"/>
    <col min="9" max="9" width="8.33203125" bestFit="1" customWidth="1"/>
    <col min="10" max="10" width="8.5546875" bestFit="1" customWidth="1"/>
    <col min="11" max="11" width="13.88671875" bestFit="1" customWidth="1"/>
    <col min="14" max="14" width="13.88671875" bestFit="1" customWidth="1"/>
  </cols>
  <sheetData>
    <row r="1" spans="1:14" x14ac:dyDescent="0.3">
      <c r="A1" s="20" t="s">
        <v>0</v>
      </c>
      <c r="B1" s="19" t="s">
        <v>1</v>
      </c>
      <c r="C1" s="3" t="s">
        <v>2</v>
      </c>
      <c r="D1" s="3" t="s">
        <v>3</v>
      </c>
      <c r="E1" s="3" t="s">
        <v>4</v>
      </c>
      <c r="F1" s="3" t="s">
        <v>5</v>
      </c>
      <c r="G1" s="3" t="s">
        <v>6</v>
      </c>
      <c r="H1" s="15" t="s">
        <v>7</v>
      </c>
      <c r="I1" s="3" t="s">
        <v>8</v>
      </c>
      <c r="J1" s="3" t="s">
        <v>9</v>
      </c>
      <c r="K1" s="4" t="s">
        <v>89</v>
      </c>
    </row>
    <row r="2" spans="1:14" x14ac:dyDescent="0.3">
      <c r="A2" s="21" t="s">
        <v>10</v>
      </c>
      <c r="B2" s="6">
        <v>46235</v>
      </c>
      <c r="C2" s="7" t="s">
        <v>11</v>
      </c>
      <c r="D2" s="7" t="s">
        <v>12</v>
      </c>
      <c r="E2" s="7" t="s">
        <v>13</v>
      </c>
      <c r="F2" s="7" t="s">
        <v>14</v>
      </c>
      <c r="G2" s="7">
        <v>2</v>
      </c>
      <c r="H2" s="16">
        <v>55000</v>
      </c>
      <c r="I2" s="8">
        <v>0.05</v>
      </c>
      <c r="J2" s="7" t="s">
        <v>15</v>
      </c>
      <c r="K2" s="37">
        <f>G2*H2</f>
        <v>110000</v>
      </c>
    </row>
    <row r="3" spans="1:14" x14ac:dyDescent="0.3">
      <c r="A3" s="21" t="s">
        <v>16</v>
      </c>
      <c r="B3" s="6">
        <v>46235</v>
      </c>
      <c r="C3" s="7" t="s">
        <v>17</v>
      </c>
      <c r="D3" s="7" t="s">
        <v>12</v>
      </c>
      <c r="E3" s="7" t="s">
        <v>18</v>
      </c>
      <c r="F3" s="7" t="s">
        <v>19</v>
      </c>
      <c r="G3" s="7">
        <v>3</v>
      </c>
      <c r="H3" s="16">
        <v>22000</v>
      </c>
      <c r="I3" s="8">
        <v>0.1</v>
      </c>
      <c r="J3" s="7" t="s">
        <v>20</v>
      </c>
      <c r="K3" s="37">
        <f t="shared" ref="K3:K51" si="0">G3*H3</f>
        <v>66000</v>
      </c>
    </row>
    <row r="4" spans="1:14" ht="15" thickBot="1" x14ac:dyDescent="0.35">
      <c r="A4" s="21" t="s">
        <v>21</v>
      </c>
      <c r="B4" s="6">
        <v>46236</v>
      </c>
      <c r="C4" s="7" t="s">
        <v>22</v>
      </c>
      <c r="D4" s="7" t="s">
        <v>12</v>
      </c>
      <c r="E4" s="7" t="s">
        <v>23</v>
      </c>
      <c r="F4" s="7" t="s">
        <v>24</v>
      </c>
      <c r="G4" s="7">
        <v>5</v>
      </c>
      <c r="H4" s="16">
        <v>2500</v>
      </c>
      <c r="I4" s="8">
        <v>0.05</v>
      </c>
      <c r="J4" s="7" t="s">
        <v>15</v>
      </c>
      <c r="K4" s="37">
        <f t="shared" si="0"/>
        <v>12500</v>
      </c>
    </row>
    <row r="5" spans="1:14" x14ac:dyDescent="0.3">
      <c r="A5" s="21" t="s">
        <v>25</v>
      </c>
      <c r="B5" s="6">
        <v>46236</v>
      </c>
      <c r="C5" s="7" t="s">
        <v>26</v>
      </c>
      <c r="D5" s="7" t="s">
        <v>27</v>
      </c>
      <c r="E5" s="7" t="s">
        <v>28</v>
      </c>
      <c r="F5" s="7" t="s">
        <v>29</v>
      </c>
      <c r="G5" s="7">
        <v>6</v>
      </c>
      <c r="H5" s="16">
        <v>900</v>
      </c>
      <c r="I5" s="8">
        <v>0.15</v>
      </c>
      <c r="J5" s="7" t="s">
        <v>30</v>
      </c>
      <c r="K5" s="37">
        <f t="shared" si="0"/>
        <v>5400</v>
      </c>
      <c r="M5" s="39" t="s">
        <v>93</v>
      </c>
      <c r="N5" s="40"/>
    </row>
    <row r="6" spans="1:14" x14ac:dyDescent="0.3">
      <c r="A6" s="21" t="s">
        <v>31</v>
      </c>
      <c r="B6" s="6">
        <v>46237</v>
      </c>
      <c r="C6" s="7" t="s">
        <v>32</v>
      </c>
      <c r="D6" s="7" t="s">
        <v>27</v>
      </c>
      <c r="E6" s="7" t="s">
        <v>13</v>
      </c>
      <c r="F6" s="7" t="s">
        <v>14</v>
      </c>
      <c r="G6" s="7">
        <v>4</v>
      </c>
      <c r="H6" s="16">
        <v>1800</v>
      </c>
      <c r="I6" s="8">
        <v>0.1</v>
      </c>
      <c r="J6" s="7" t="s">
        <v>20</v>
      </c>
      <c r="K6" s="37">
        <f t="shared" si="0"/>
        <v>7200</v>
      </c>
      <c r="M6" s="41" t="s">
        <v>92</v>
      </c>
      <c r="N6" s="37">
        <f>MAX(K2:K51)</f>
        <v>120000</v>
      </c>
    </row>
    <row r="7" spans="1:14" x14ac:dyDescent="0.3">
      <c r="A7" s="21" t="s">
        <v>33</v>
      </c>
      <c r="B7" s="6">
        <v>46237</v>
      </c>
      <c r="C7" s="7" t="s">
        <v>34</v>
      </c>
      <c r="D7" s="7" t="s">
        <v>35</v>
      </c>
      <c r="E7" s="7" t="s">
        <v>18</v>
      </c>
      <c r="F7" s="7" t="s">
        <v>19</v>
      </c>
      <c r="G7" s="7">
        <v>10</v>
      </c>
      <c r="H7" s="16">
        <v>750</v>
      </c>
      <c r="I7" s="8">
        <v>0.05</v>
      </c>
      <c r="J7" s="7" t="s">
        <v>15</v>
      </c>
      <c r="K7" s="37">
        <f t="shared" si="0"/>
        <v>7500</v>
      </c>
      <c r="M7" s="42" t="s">
        <v>91</v>
      </c>
      <c r="N7" s="37">
        <f>MIN(K2:K51)</f>
        <v>1920</v>
      </c>
    </row>
    <row r="8" spans="1:14" x14ac:dyDescent="0.3">
      <c r="A8" s="21" t="s">
        <v>36</v>
      </c>
      <c r="B8" s="6">
        <v>46238</v>
      </c>
      <c r="C8" s="7" t="s">
        <v>37</v>
      </c>
      <c r="D8" s="7" t="s">
        <v>38</v>
      </c>
      <c r="E8" s="7" t="s">
        <v>23</v>
      </c>
      <c r="F8" s="7" t="s">
        <v>24</v>
      </c>
      <c r="G8" s="7">
        <v>2</v>
      </c>
      <c r="H8" s="16">
        <v>3200</v>
      </c>
      <c r="I8" s="8">
        <v>0.08</v>
      </c>
      <c r="J8" s="7" t="s">
        <v>20</v>
      </c>
      <c r="K8" s="37">
        <f t="shared" si="0"/>
        <v>6400</v>
      </c>
      <c r="M8" s="43" t="s">
        <v>90</v>
      </c>
      <c r="N8" s="37">
        <f>AVERAGE(K2:K51)</f>
        <v>24804.2</v>
      </c>
    </row>
    <row r="9" spans="1:14" ht="15" thickBot="1" x14ac:dyDescent="0.35">
      <c r="A9" s="21" t="s">
        <v>39</v>
      </c>
      <c r="B9" s="6">
        <v>46238</v>
      </c>
      <c r="C9" s="7" t="s">
        <v>40</v>
      </c>
      <c r="D9" s="7" t="s">
        <v>27</v>
      </c>
      <c r="E9" s="7" t="s">
        <v>28</v>
      </c>
      <c r="F9" s="7" t="s">
        <v>29</v>
      </c>
      <c r="G9" s="7">
        <v>3</v>
      </c>
      <c r="H9" s="16">
        <v>2500</v>
      </c>
      <c r="I9" s="8">
        <v>0.12</v>
      </c>
      <c r="J9" s="7" t="s">
        <v>15</v>
      </c>
      <c r="K9" s="37">
        <f t="shared" si="0"/>
        <v>7500</v>
      </c>
      <c r="M9" s="44" t="s">
        <v>94</v>
      </c>
      <c r="N9" s="38">
        <f>SUM(K2:K51)</f>
        <v>1240210</v>
      </c>
    </row>
    <row r="10" spans="1:14" x14ac:dyDescent="0.3">
      <c r="A10" s="21" t="s">
        <v>41</v>
      </c>
      <c r="B10" s="6">
        <v>46239</v>
      </c>
      <c r="C10" s="7" t="s">
        <v>42</v>
      </c>
      <c r="D10" s="7" t="s">
        <v>12</v>
      </c>
      <c r="E10" s="7" t="s">
        <v>13</v>
      </c>
      <c r="F10" s="7" t="s">
        <v>14</v>
      </c>
      <c r="G10" s="7">
        <v>5</v>
      </c>
      <c r="H10" s="16">
        <v>1500</v>
      </c>
      <c r="I10" s="8">
        <v>0.05</v>
      </c>
      <c r="J10" s="7" t="s">
        <v>30</v>
      </c>
      <c r="K10" s="37">
        <f t="shared" si="0"/>
        <v>7500</v>
      </c>
    </row>
    <row r="11" spans="1:14" x14ac:dyDescent="0.3">
      <c r="A11" s="21" t="s">
        <v>43</v>
      </c>
      <c r="B11" s="6">
        <v>46239</v>
      </c>
      <c r="C11" s="7" t="s">
        <v>44</v>
      </c>
      <c r="D11" s="7" t="s">
        <v>12</v>
      </c>
      <c r="E11" s="7" t="s">
        <v>18</v>
      </c>
      <c r="F11" s="7" t="s">
        <v>19</v>
      </c>
      <c r="G11" s="7">
        <v>8</v>
      </c>
      <c r="H11" s="16">
        <v>700</v>
      </c>
      <c r="I11" s="8">
        <v>0.1</v>
      </c>
      <c r="J11" s="7" t="s">
        <v>15</v>
      </c>
      <c r="K11" s="37">
        <f t="shared" si="0"/>
        <v>5600</v>
      </c>
    </row>
    <row r="12" spans="1:14" x14ac:dyDescent="0.3">
      <c r="A12" s="21" t="s">
        <v>45</v>
      </c>
      <c r="B12" s="6">
        <v>46240</v>
      </c>
      <c r="C12" s="7" t="s">
        <v>11</v>
      </c>
      <c r="D12" s="7" t="s">
        <v>12</v>
      </c>
      <c r="E12" s="7" t="s">
        <v>23</v>
      </c>
      <c r="F12" s="7" t="s">
        <v>24</v>
      </c>
      <c r="G12" s="7">
        <v>1</v>
      </c>
      <c r="H12" s="16">
        <v>62000</v>
      </c>
      <c r="I12" s="8">
        <v>7.0000000000000007E-2</v>
      </c>
      <c r="J12" s="7" t="s">
        <v>20</v>
      </c>
      <c r="K12" s="37">
        <f t="shared" si="0"/>
        <v>62000</v>
      </c>
    </row>
    <row r="13" spans="1:14" x14ac:dyDescent="0.3">
      <c r="A13" s="21" t="s">
        <v>46</v>
      </c>
      <c r="B13" s="6">
        <v>46240</v>
      </c>
      <c r="C13" s="7" t="s">
        <v>17</v>
      </c>
      <c r="D13" s="7" t="s">
        <v>12</v>
      </c>
      <c r="E13" s="7" t="s">
        <v>28</v>
      </c>
      <c r="F13" s="7" t="s">
        <v>29</v>
      </c>
      <c r="G13" s="7">
        <v>4</v>
      </c>
      <c r="H13" s="16">
        <v>18000</v>
      </c>
      <c r="I13" s="8">
        <v>0.05</v>
      </c>
      <c r="J13" s="7" t="s">
        <v>15</v>
      </c>
      <c r="K13" s="37">
        <f t="shared" si="0"/>
        <v>72000</v>
      </c>
    </row>
    <row r="14" spans="1:14" x14ac:dyDescent="0.3">
      <c r="A14" s="21" t="s">
        <v>47</v>
      </c>
      <c r="B14" s="6">
        <v>46241</v>
      </c>
      <c r="C14" s="7" t="s">
        <v>48</v>
      </c>
      <c r="D14" s="7" t="s">
        <v>27</v>
      </c>
      <c r="E14" s="7" t="s">
        <v>13</v>
      </c>
      <c r="F14" s="7" t="s">
        <v>14</v>
      </c>
      <c r="G14" s="7">
        <v>2</v>
      </c>
      <c r="H14" s="16">
        <v>3500</v>
      </c>
      <c r="I14" s="8">
        <v>0.1</v>
      </c>
      <c r="J14" s="7" t="s">
        <v>30</v>
      </c>
      <c r="K14" s="37">
        <f t="shared" si="0"/>
        <v>7000</v>
      </c>
    </row>
    <row r="15" spans="1:14" x14ac:dyDescent="0.3">
      <c r="A15" s="21" t="s">
        <v>49</v>
      </c>
      <c r="B15" s="6">
        <v>46241</v>
      </c>
      <c r="C15" s="7" t="s">
        <v>50</v>
      </c>
      <c r="D15" s="7" t="s">
        <v>35</v>
      </c>
      <c r="E15" s="7" t="s">
        <v>18</v>
      </c>
      <c r="F15" s="7" t="s">
        <v>19</v>
      </c>
      <c r="G15" s="7">
        <v>12</v>
      </c>
      <c r="H15" s="16">
        <v>160</v>
      </c>
      <c r="I15" s="8">
        <v>0.05</v>
      </c>
      <c r="J15" s="7" t="s">
        <v>15</v>
      </c>
      <c r="K15" s="37">
        <f t="shared" si="0"/>
        <v>1920</v>
      </c>
    </row>
    <row r="16" spans="1:14" x14ac:dyDescent="0.3">
      <c r="A16" s="21" t="s">
        <v>51</v>
      </c>
      <c r="B16" s="6">
        <v>46242</v>
      </c>
      <c r="C16" s="7" t="s">
        <v>52</v>
      </c>
      <c r="D16" s="7" t="s">
        <v>38</v>
      </c>
      <c r="E16" s="7" t="s">
        <v>23</v>
      </c>
      <c r="F16" s="7" t="s">
        <v>24</v>
      </c>
      <c r="G16" s="7">
        <v>3</v>
      </c>
      <c r="H16" s="16">
        <v>2800</v>
      </c>
      <c r="I16" s="8">
        <v>0.08</v>
      </c>
      <c r="J16" s="7" t="s">
        <v>20</v>
      </c>
      <c r="K16" s="37">
        <f t="shared" si="0"/>
        <v>8400</v>
      </c>
    </row>
    <row r="17" spans="1:11" x14ac:dyDescent="0.3">
      <c r="A17" s="21" t="s">
        <v>53</v>
      </c>
      <c r="B17" s="6">
        <v>46242</v>
      </c>
      <c r="C17" s="7" t="s">
        <v>40</v>
      </c>
      <c r="D17" s="7" t="s">
        <v>27</v>
      </c>
      <c r="E17" s="7" t="s">
        <v>28</v>
      </c>
      <c r="F17" s="7" t="s">
        <v>29</v>
      </c>
      <c r="G17" s="7">
        <v>5</v>
      </c>
      <c r="H17" s="16">
        <v>2200</v>
      </c>
      <c r="I17" s="8">
        <v>0.15</v>
      </c>
      <c r="J17" s="7" t="s">
        <v>15</v>
      </c>
      <c r="K17" s="37">
        <f t="shared" si="0"/>
        <v>11000</v>
      </c>
    </row>
    <row r="18" spans="1:11" x14ac:dyDescent="0.3">
      <c r="A18" s="21" t="s">
        <v>54</v>
      </c>
      <c r="B18" s="6">
        <v>46243</v>
      </c>
      <c r="C18" s="7" t="s">
        <v>55</v>
      </c>
      <c r="D18" s="7" t="s">
        <v>12</v>
      </c>
      <c r="E18" s="7" t="s">
        <v>13</v>
      </c>
      <c r="F18" s="7" t="s">
        <v>14</v>
      </c>
      <c r="G18" s="7">
        <v>2</v>
      </c>
      <c r="H18" s="16">
        <v>12500</v>
      </c>
      <c r="I18" s="8">
        <v>0.1</v>
      </c>
      <c r="J18" s="7" t="s">
        <v>20</v>
      </c>
      <c r="K18" s="37">
        <f t="shared" si="0"/>
        <v>25000</v>
      </c>
    </row>
    <row r="19" spans="1:11" x14ac:dyDescent="0.3">
      <c r="A19" s="21" t="s">
        <v>56</v>
      </c>
      <c r="B19" s="6">
        <v>46243</v>
      </c>
      <c r="C19" s="7" t="s">
        <v>42</v>
      </c>
      <c r="D19" s="7" t="s">
        <v>12</v>
      </c>
      <c r="E19" s="7" t="s">
        <v>18</v>
      </c>
      <c r="F19" s="7" t="s">
        <v>19</v>
      </c>
      <c r="G19" s="7">
        <v>7</v>
      </c>
      <c r="H19" s="16">
        <v>1700</v>
      </c>
      <c r="I19" s="8">
        <v>0.05</v>
      </c>
      <c r="J19" s="7" t="s">
        <v>30</v>
      </c>
      <c r="K19" s="37">
        <f t="shared" si="0"/>
        <v>11900</v>
      </c>
    </row>
    <row r="20" spans="1:11" x14ac:dyDescent="0.3">
      <c r="A20" s="21" t="s">
        <v>57</v>
      </c>
      <c r="B20" s="6">
        <v>46244</v>
      </c>
      <c r="C20" s="7" t="s">
        <v>26</v>
      </c>
      <c r="D20" s="7" t="s">
        <v>27</v>
      </c>
      <c r="E20" s="7" t="s">
        <v>23</v>
      </c>
      <c r="F20" s="7" t="s">
        <v>24</v>
      </c>
      <c r="G20" s="7">
        <v>8</v>
      </c>
      <c r="H20" s="16">
        <v>850</v>
      </c>
      <c r="I20" s="8">
        <v>0.1</v>
      </c>
      <c r="J20" s="7" t="s">
        <v>15</v>
      </c>
      <c r="K20" s="37">
        <f t="shared" si="0"/>
        <v>6800</v>
      </c>
    </row>
    <row r="21" spans="1:11" x14ac:dyDescent="0.3">
      <c r="A21" s="21" t="s">
        <v>58</v>
      </c>
      <c r="B21" s="6">
        <v>46244</v>
      </c>
      <c r="C21" s="7" t="s">
        <v>34</v>
      </c>
      <c r="D21" s="7" t="s">
        <v>35</v>
      </c>
      <c r="E21" s="7" t="s">
        <v>28</v>
      </c>
      <c r="F21" s="7" t="s">
        <v>29</v>
      </c>
      <c r="G21" s="7">
        <v>15</v>
      </c>
      <c r="H21" s="16">
        <v>720</v>
      </c>
      <c r="I21" s="8">
        <v>0.05</v>
      </c>
      <c r="J21" s="7" t="s">
        <v>20</v>
      </c>
      <c r="K21" s="37">
        <f t="shared" si="0"/>
        <v>10800</v>
      </c>
    </row>
    <row r="22" spans="1:11" x14ac:dyDescent="0.3">
      <c r="A22" s="21" t="s">
        <v>59</v>
      </c>
      <c r="B22" s="6">
        <v>46245</v>
      </c>
      <c r="C22" s="7" t="s">
        <v>17</v>
      </c>
      <c r="D22" s="7" t="s">
        <v>12</v>
      </c>
      <c r="E22" s="7" t="s">
        <v>13</v>
      </c>
      <c r="F22" s="7" t="s">
        <v>14</v>
      </c>
      <c r="G22" s="7">
        <v>2</v>
      </c>
      <c r="H22" s="16">
        <v>24000</v>
      </c>
      <c r="I22" s="8">
        <v>0.08</v>
      </c>
      <c r="J22" s="7" t="s">
        <v>15</v>
      </c>
      <c r="K22" s="37">
        <f t="shared" si="0"/>
        <v>48000</v>
      </c>
    </row>
    <row r="23" spans="1:11" x14ac:dyDescent="0.3">
      <c r="A23" s="21" t="s">
        <v>60</v>
      </c>
      <c r="B23" s="6">
        <v>46245</v>
      </c>
      <c r="C23" s="7" t="s">
        <v>11</v>
      </c>
      <c r="D23" s="7" t="s">
        <v>12</v>
      </c>
      <c r="E23" s="7" t="s">
        <v>18</v>
      </c>
      <c r="F23" s="7" t="s">
        <v>19</v>
      </c>
      <c r="G23" s="7">
        <v>1</v>
      </c>
      <c r="H23" s="16">
        <v>58000</v>
      </c>
      <c r="I23" s="8">
        <v>0.05</v>
      </c>
      <c r="J23" s="7" t="s">
        <v>20</v>
      </c>
      <c r="K23" s="37">
        <f t="shared" si="0"/>
        <v>58000</v>
      </c>
    </row>
    <row r="24" spans="1:11" x14ac:dyDescent="0.3">
      <c r="A24" s="21" t="s">
        <v>61</v>
      </c>
      <c r="B24" s="6">
        <v>46246</v>
      </c>
      <c r="C24" s="7" t="s">
        <v>32</v>
      </c>
      <c r="D24" s="7" t="s">
        <v>27</v>
      </c>
      <c r="E24" s="7" t="s">
        <v>23</v>
      </c>
      <c r="F24" s="7" t="s">
        <v>24</v>
      </c>
      <c r="G24" s="7">
        <v>6</v>
      </c>
      <c r="H24" s="16">
        <v>1600</v>
      </c>
      <c r="I24" s="8">
        <v>0.12</v>
      </c>
      <c r="J24" s="7" t="s">
        <v>30</v>
      </c>
      <c r="K24" s="37">
        <f t="shared" si="0"/>
        <v>9600</v>
      </c>
    </row>
    <row r="25" spans="1:11" x14ac:dyDescent="0.3">
      <c r="A25" s="21" t="s">
        <v>62</v>
      </c>
      <c r="B25" s="6">
        <v>46246</v>
      </c>
      <c r="C25" s="7" t="s">
        <v>37</v>
      </c>
      <c r="D25" s="6" t="s">
        <v>38</v>
      </c>
      <c r="E25" s="7" t="s">
        <v>28</v>
      </c>
      <c r="F25" s="7" t="s">
        <v>29</v>
      </c>
      <c r="G25" s="7">
        <v>2</v>
      </c>
      <c r="H25" s="16">
        <v>3500</v>
      </c>
      <c r="I25" s="8">
        <v>0.1</v>
      </c>
      <c r="J25" s="7" t="s">
        <v>15</v>
      </c>
      <c r="K25" s="37">
        <f t="shared" si="0"/>
        <v>7000</v>
      </c>
    </row>
    <row r="26" spans="1:11" x14ac:dyDescent="0.3">
      <c r="A26" s="21" t="s">
        <v>63</v>
      </c>
      <c r="B26" s="6">
        <v>46247</v>
      </c>
      <c r="C26" s="7" t="s">
        <v>22</v>
      </c>
      <c r="D26" s="7" t="s">
        <v>12</v>
      </c>
      <c r="E26" s="7" t="s">
        <v>13</v>
      </c>
      <c r="F26" s="7" t="s">
        <v>14</v>
      </c>
      <c r="G26" s="7">
        <v>10</v>
      </c>
      <c r="H26" s="16">
        <v>2200</v>
      </c>
      <c r="I26" s="8">
        <v>0.05</v>
      </c>
      <c r="J26" s="7" t="s">
        <v>20</v>
      </c>
      <c r="K26" s="37">
        <f t="shared" si="0"/>
        <v>22000</v>
      </c>
    </row>
    <row r="27" spans="1:11" x14ac:dyDescent="0.3">
      <c r="A27" s="21" t="s">
        <v>64</v>
      </c>
      <c r="B27" s="6">
        <v>46247</v>
      </c>
      <c r="C27" s="7" t="s">
        <v>40</v>
      </c>
      <c r="D27" s="7" t="s">
        <v>27</v>
      </c>
      <c r="E27" s="7" t="s">
        <v>18</v>
      </c>
      <c r="F27" s="7" t="s">
        <v>19</v>
      </c>
      <c r="G27" s="7">
        <v>4</v>
      </c>
      <c r="H27" s="16">
        <v>2800</v>
      </c>
      <c r="I27" s="8">
        <v>0.15</v>
      </c>
      <c r="J27" s="7" t="s">
        <v>15</v>
      </c>
      <c r="K27" s="37">
        <f t="shared" si="0"/>
        <v>11200</v>
      </c>
    </row>
    <row r="28" spans="1:11" x14ac:dyDescent="0.3">
      <c r="A28" s="21" t="s">
        <v>65</v>
      </c>
      <c r="B28" s="6">
        <v>46248</v>
      </c>
      <c r="C28" s="7" t="s">
        <v>44</v>
      </c>
      <c r="D28" s="7" t="s">
        <v>12</v>
      </c>
      <c r="E28" s="7" t="s">
        <v>23</v>
      </c>
      <c r="F28" s="7" t="s">
        <v>24</v>
      </c>
      <c r="G28" s="7">
        <v>12</v>
      </c>
      <c r="H28" s="16">
        <v>650</v>
      </c>
      <c r="I28" s="8">
        <v>0.05</v>
      </c>
      <c r="J28" s="7" t="s">
        <v>30</v>
      </c>
      <c r="K28" s="37">
        <f t="shared" si="0"/>
        <v>7800</v>
      </c>
    </row>
    <row r="29" spans="1:11" x14ac:dyDescent="0.3">
      <c r="A29" s="21" t="s">
        <v>66</v>
      </c>
      <c r="B29" s="6">
        <v>46248</v>
      </c>
      <c r="C29" s="7" t="s">
        <v>48</v>
      </c>
      <c r="D29" s="7" t="s">
        <v>27</v>
      </c>
      <c r="E29" s="7" t="s">
        <v>28</v>
      </c>
      <c r="F29" s="7" t="s">
        <v>29</v>
      </c>
      <c r="G29" s="7">
        <v>3</v>
      </c>
      <c r="H29" s="16">
        <v>4200</v>
      </c>
      <c r="I29" s="8">
        <v>0.1</v>
      </c>
      <c r="J29" s="7" t="s">
        <v>20</v>
      </c>
      <c r="K29" s="37">
        <f t="shared" si="0"/>
        <v>12600</v>
      </c>
    </row>
    <row r="30" spans="1:11" x14ac:dyDescent="0.3">
      <c r="A30" s="21" t="s">
        <v>67</v>
      </c>
      <c r="B30" s="6">
        <v>46249</v>
      </c>
      <c r="C30" s="7" t="s">
        <v>34</v>
      </c>
      <c r="D30" s="7" t="s">
        <v>35</v>
      </c>
      <c r="E30" s="7" t="s">
        <v>13</v>
      </c>
      <c r="F30" s="7" t="s">
        <v>14</v>
      </c>
      <c r="G30" s="7">
        <v>20</v>
      </c>
      <c r="H30" s="16">
        <v>700</v>
      </c>
      <c r="I30" s="8">
        <v>0.05</v>
      </c>
      <c r="J30" s="7" t="s">
        <v>15</v>
      </c>
      <c r="K30" s="37">
        <f t="shared" si="0"/>
        <v>14000</v>
      </c>
    </row>
    <row r="31" spans="1:11" x14ac:dyDescent="0.3">
      <c r="A31" s="21" t="s">
        <v>68</v>
      </c>
      <c r="B31" s="6">
        <v>46249</v>
      </c>
      <c r="C31" s="7" t="s">
        <v>52</v>
      </c>
      <c r="D31" s="7" t="s">
        <v>38</v>
      </c>
      <c r="E31" s="7" t="s">
        <v>18</v>
      </c>
      <c r="F31" s="7" t="s">
        <v>19</v>
      </c>
      <c r="G31" s="7">
        <v>4</v>
      </c>
      <c r="H31" s="16">
        <v>3000</v>
      </c>
      <c r="I31" s="8">
        <v>0.08</v>
      </c>
      <c r="J31" s="7" t="s">
        <v>20</v>
      </c>
      <c r="K31" s="37">
        <f t="shared" si="0"/>
        <v>12000</v>
      </c>
    </row>
    <row r="32" spans="1:11" x14ac:dyDescent="0.3">
      <c r="A32" s="21" t="s">
        <v>69</v>
      </c>
      <c r="B32" s="6">
        <v>46250</v>
      </c>
      <c r="C32" s="7" t="s">
        <v>55</v>
      </c>
      <c r="D32" s="7" t="s">
        <v>12</v>
      </c>
      <c r="E32" s="7" t="s">
        <v>23</v>
      </c>
      <c r="F32" s="7" t="s">
        <v>24</v>
      </c>
      <c r="G32" s="7">
        <v>3</v>
      </c>
      <c r="H32" s="16">
        <v>11500</v>
      </c>
      <c r="I32" s="8">
        <v>0.1</v>
      </c>
      <c r="J32" s="7" t="s">
        <v>15</v>
      </c>
      <c r="K32" s="37">
        <f t="shared" si="0"/>
        <v>34500</v>
      </c>
    </row>
    <row r="33" spans="1:11" x14ac:dyDescent="0.3">
      <c r="A33" s="21" t="s">
        <v>70</v>
      </c>
      <c r="B33" s="6">
        <v>46250</v>
      </c>
      <c r="C33" s="7" t="s">
        <v>26</v>
      </c>
      <c r="D33" s="7" t="s">
        <v>27</v>
      </c>
      <c r="E33" s="7" t="s">
        <v>28</v>
      </c>
      <c r="F33" s="7" t="s">
        <v>29</v>
      </c>
      <c r="G33" s="7">
        <v>10</v>
      </c>
      <c r="H33" s="16">
        <v>950</v>
      </c>
      <c r="I33" s="8">
        <v>0.15</v>
      </c>
      <c r="J33" s="7" t="s">
        <v>30</v>
      </c>
      <c r="K33" s="37">
        <f t="shared" si="0"/>
        <v>9500</v>
      </c>
    </row>
    <row r="34" spans="1:11" x14ac:dyDescent="0.3">
      <c r="A34" s="21" t="s">
        <v>71</v>
      </c>
      <c r="B34" s="6">
        <v>46251</v>
      </c>
      <c r="C34" s="7" t="s">
        <v>17</v>
      </c>
      <c r="D34" s="7" t="s">
        <v>12</v>
      </c>
      <c r="E34" s="7" t="s">
        <v>13</v>
      </c>
      <c r="F34" s="7" t="s">
        <v>14</v>
      </c>
      <c r="G34" s="7">
        <v>5</v>
      </c>
      <c r="H34" s="16">
        <v>21000</v>
      </c>
      <c r="I34" s="8">
        <v>7.0000000000000007E-2</v>
      </c>
      <c r="J34" s="7" t="s">
        <v>20</v>
      </c>
      <c r="K34" s="37">
        <f t="shared" si="0"/>
        <v>105000</v>
      </c>
    </row>
    <row r="35" spans="1:11" x14ac:dyDescent="0.3">
      <c r="A35" s="21" t="s">
        <v>72</v>
      </c>
      <c r="B35" s="6">
        <v>46251</v>
      </c>
      <c r="C35" s="7" t="s">
        <v>50</v>
      </c>
      <c r="D35" s="7" t="s">
        <v>35</v>
      </c>
      <c r="E35" s="7" t="s">
        <v>18</v>
      </c>
      <c r="F35" s="7" t="s">
        <v>19</v>
      </c>
      <c r="G35" s="7">
        <v>20</v>
      </c>
      <c r="H35" s="16">
        <v>155</v>
      </c>
      <c r="I35" s="8">
        <v>0.05</v>
      </c>
      <c r="J35" s="7" t="s">
        <v>15</v>
      </c>
      <c r="K35" s="37">
        <f t="shared" si="0"/>
        <v>3100</v>
      </c>
    </row>
    <row r="36" spans="1:11" x14ac:dyDescent="0.3">
      <c r="A36" s="21" t="s">
        <v>73</v>
      </c>
      <c r="B36" s="6">
        <v>46252</v>
      </c>
      <c r="C36" s="7" t="s">
        <v>11</v>
      </c>
      <c r="D36" s="7" t="s">
        <v>12</v>
      </c>
      <c r="E36" s="7" t="s">
        <v>23</v>
      </c>
      <c r="F36" s="7" t="s">
        <v>24</v>
      </c>
      <c r="G36" s="7">
        <v>2</v>
      </c>
      <c r="H36" s="16">
        <v>60000</v>
      </c>
      <c r="I36" s="8">
        <v>0.1</v>
      </c>
      <c r="J36" s="7" t="s">
        <v>20</v>
      </c>
      <c r="K36" s="37">
        <f t="shared" si="0"/>
        <v>120000</v>
      </c>
    </row>
    <row r="37" spans="1:11" x14ac:dyDescent="0.3">
      <c r="A37" s="21" t="s">
        <v>74</v>
      </c>
      <c r="B37" s="6">
        <v>46252</v>
      </c>
      <c r="C37" s="7" t="s">
        <v>32</v>
      </c>
      <c r="D37" s="7" t="s">
        <v>27</v>
      </c>
      <c r="E37" s="7" t="s">
        <v>28</v>
      </c>
      <c r="F37" s="7" t="s">
        <v>29</v>
      </c>
      <c r="G37" s="7">
        <v>5</v>
      </c>
      <c r="H37" s="16">
        <v>1900</v>
      </c>
      <c r="I37" s="8">
        <v>0.12</v>
      </c>
      <c r="J37" s="7" t="s">
        <v>15</v>
      </c>
      <c r="K37" s="37">
        <f t="shared" si="0"/>
        <v>9500</v>
      </c>
    </row>
    <row r="38" spans="1:11" x14ac:dyDescent="0.3">
      <c r="A38" s="21" t="s">
        <v>75</v>
      </c>
      <c r="B38" s="6">
        <v>46253</v>
      </c>
      <c r="C38" s="7" t="s">
        <v>42</v>
      </c>
      <c r="D38" s="7" t="s">
        <v>12</v>
      </c>
      <c r="E38" s="7" t="s">
        <v>13</v>
      </c>
      <c r="F38" s="7" t="s">
        <v>14</v>
      </c>
      <c r="G38" s="7">
        <v>6</v>
      </c>
      <c r="H38" s="16">
        <v>1600</v>
      </c>
      <c r="I38" s="8">
        <v>0.05</v>
      </c>
      <c r="J38" s="7" t="s">
        <v>30</v>
      </c>
      <c r="K38" s="37">
        <f t="shared" si="0"/>
        <v>9600</v>
      </c>
    </row>
    <row r="39" spans="1:11" x14ac:dyDescent="0.3">
      <c r="A39" s="21" t="s">
        <v>76</v>
      </c>
      <c r="B39" s="6">
        <v>46253</v>
      </c>
      <c r="C39" s="7" t="s">
        <v>37</v>
      </c>
      <c r="D39" s="7" t="s">
        <v>38</v>
      </c>
      <c r="E39" s="7" t="s">
        <v>18</v>
      </c>
      <c r="F39" s="7" t="s">
        <v>19</v>
      </c>
      <c r="G39" s="7">
        <v>3</v>
      </c>
      <c r="H39" s="16">
        <v>3300</v>
      </c>
      <c r="I39" s="8">
        <v>0.08</v>
      </c>
      <c r="J39" s="7" t="s">
        <v>20</v>
      </c>
      <c r="K39" s="37">
        <f t="shared" si="0"/>
        <v>9900</v>
      </c>
    </row>
    <row r="40" spans="1:11" x14ac:dyDescent="0.3">
      <c r="A40" s="21" t="s">
        <v>77</v>
      </c>
      <c r="B40" s="6">
        <v>46254</v>
      </c>
      <c r="C40" s="7" t="s">
        <v>40</v>
      </c>
      <c r="D40" s="7" t="s">
        <v>27</v>
      </c>
      <c r="E40" s="7" t="s">
        <v>23</v>
      </c>
      <c r="F40" s="7" t="s">
        <v>24</v>
      </c>
      <c r="G40" s="7">
        <v>7</v>
      </c>
      <c r="H40" s="16">
        <v>2400</v>
      </c>
      <c r="I40" s="8">
        <v>0.1</v>
      </c>
      <c r="J40" s="7" t="s">
        <v>15</v>
      </c>
      <c r="K40" s="37">
        <f t="shared" si="0"/>
        <v>16800</v>
      </c>
    </row>
    <row r="41" spans="1:11" x14ac:dyDescent="0.3">
      <c r="A41" s="21" t="s">
        <v>78</v>
      </c>
      <c r="B41" s="6">
        <v>46254</v>
      </c>
      <c r="C41" s="7" t="s">
        <v>34</v>
      </c>
      <c r="D41" s="7" t="s">
        <v>35</v>
      </c>
      <c r="E41" s="7" t="s">
        <v>28</v>
      </c>
      <c r="F41" s="7" t="s">
        <v>29</v>
      </c>
      <c r="G41" s="7">
        <v>18</v>
      </c>
      <c r="H41" s="16">
        <v>680</v>
      </c>
      <c r="I41" s="8">
        <v>0.05</v>
      </c>
      <c r="J41" s="7" t="s">
        <v>30</v>
      </c>
      <c r="K41" s="37">
        <f t="shared" si="0"/>
        <v>12240</v>
      </c>
    </row>
    <row r="42" spans="1:11" x14ac:dyDescent="0.3">
      <c r="A42" s="21" t="s">
        <v>79</v>
      </c>
      <c r="B42" s="6">
        <v>46255</v>
      </c>
      <c r="C42" s="7" t="s">
        <v>17</v>
      </c>
      <c r="D42" s="7" t="s">
        <v>12</v>
      </c>
      <c r="E42" s="7" t="s">
        <v>13</v>
      </c>
      <c r="F42" s="7" t="s">
        <v>14</v>
      </c>
      <c r="G42" s="7">
        <v>3</v>
      </c>
      <c r="H42" s="16">
        <v>23000</v>
      </c>
      <c r="I42" s="8">
        <v>0.08</v>
      </c>
      <c r="J42" s="7" t="s">
        <v>15</v>
      </c>
      <c r="K42" s="37">
        <f t="shared" si="0"/>
        <v>69000</v>
      </c>
    </row>
    <row r="43" spans="1:11" x14ac:dyDescent="0.3">
      <c r="A43" s="21" t="s">
        <v>80</v>
      </c>
      <c r="B43" s="6">
        <v>46255</v>
      </c>
      <c r="C43" s="7" t="s">
        <v>22</v>
      </c>
      <c r="D43" s="7" t="s">
        <v>12</v>
      </c>
      <c r="E43" s="7" t="s">
        <v>18</v>
      </c>
      <c r="F43" s="7" t="s">
        <v>19</v>
      </c>
      <c r="G43" s="7">
        <v>9</v>
      </c>
      <c r="H43" s="16">
        <v>2400</v>
      </c>
      <c r="I43" s="8">
        <v>0.1</v>
      </c>
      <c r="J43" s="7" t="s">
        <v>20</v>
      </c>
      <c r="K43" s="37">
        <f t="shared" si="0"/>
        <v>21600</v>
      </c>
    </row>
    <row r="44" spans="1:11" x14ac:dyDescent="0.3">
      <c r="A44" s="21" t="s">
        <v>81</v>
      </c>
      <c r="B44" s="6">
        <v>46256</v>
      </c>
      <c r="C44" s="7" t="s">
        <v>48</v>
      </c>
      <c r="D44" s="7" t="s">
        <v>27</v>
      </c>
      <c r="E44" s="7" t="s">
        <v>23</v>
      </c>
      <c r="F44" s="7" t="s">
        <v>24</v>
      </c>
      <c r="G44" s="7">
        <v>4</v>
      </c>
      <c r="H44" s="16">
        <v>3800</v>
      </c>
      <c r="I44" s="8">
        <v>0.15</v>
      </c>
      <c r="J44" s="7" t="s">
        <v>15</v>
      </c>
      <c r="K44" s="37">
        <f t="shared" si="0"/>
        <v>15200</v>
      </c>
    </row>
    <row r="45" spans="1:11" x14ac:dyDescent="0.3">
      <c r="A45" s="21" t="s">
        <v>82</v>
      </c>
      <c r="B45" s="6">
        <v>46256</v>
      </c>
      <c r="C45" s="7" t="s">
        <v>52</v>
      </c>
      <c r="D45" s="7" t="s">
        <v>38</v>
      </c>
      <c r="E45" s="7" t="s">
        <v>28</v>
      </c>
      <c r="F45" s="7" t="s">
        <v>29</v>
      </c>
      <c r="G45" s="7">
        <v>2</v>
      </c>
      <c r="H45" s="16">
        <v>3100</v>
      </c>
      <c r="I45" s="8">
        <v>0.05</v>
      </c>
      <c r="J45" s="7" t="s">
        <v>20</v>
      </c>
      <c r="K45" s="37">
        <f t="shared" si="0"/>
        <v>6200</v>
      </c>
    </row>
    <row r="46" spans="1:11" x14ac:dyDescent="0.3">
      <c r="A46" s="21" t="s">
        <v>83</v>
      </c>
      <c r="B46" s="6">
        <v>46257</v>
      </c>
      <c r="C46" s="7" t="s">
        <v>11</v>
      </c>
      <c r="D46" s="7" t="s">
        <v>12</v>
      </c>
      <c r="E46" s="7" t="s">
        <v>13</v>
      </c>
      <c r="F46" s="7" t="s">
        <v>14</v>
      </c>
      <c r="G46" s="7">
        <v>1</v>
      </c>
      <c r="H46" s="16">
        <v>65000</v>
      </c>
      <c r="I46" s="8">
        <v>0.1</v>
      </c>
      <c r="J46" s="7" t="s">
        <v>15</v>
      </c>
      <c r="K46" s="37">
        <f t="shared" si="0"/>
        <v>65000</v>
      </c>
    </row>
    <row r="47" spans="1:11" x14ac:dyDescent="0.3">
      <c r="A47" s="21" t="s">
        <v>84</v>
      </c>
      <c r="B47" s="6">
        <v>46257</v>
      </c>
      <c r="C47" s="7" t="s">
        <v>26</v>
      </c>
      <c r="D47" s="7" t="s">
        <v>27</v>
      </c>
      <c r="E47" s="7" t="s">
        <v>18</v>
      </c>
      <c r="F47" s="7" t="s">
        <v>19</v>
      </c>
      <c r="G47" s="7">
        <v>12</v>
      </c>
      <c r="H47" s="16">
        <v>800</v>
      </c>
      <c r="I47" s="8">
        <v>0.12</v>
      </c>
      <c r="J47" s="7" t="s">
        <v>30</v>
      </c>
      <c r="K47" s="37">
        <f t="shared" si="0"/>
        <v>9600</v>
      </c>
    </row>
    <row r="48" spans="1:11" x14ac:dyDescent="0.3">
      <c r="A48" s="21" t="s">
        <v>85</v>
      </c>
      <c r="B48" s="6">
        <v>46258</v>
      </c>
      <c r="C48" s="7" t="s">
        <v>44</v>
      </c>
      <c r="D48" s="7" t="s">
        <v>12</v>
      </c>
      <c r="E48" s="7" t="s">
        <v>23</v>
      </c>
      <c r="F48" s="7" t="s">
        <v>24</v>
      </c>
      <c r="G48" s="7">
        <v>15</v>
      </c>
      <c r="H48" s="16">
        <v>600</v>
      </c>
      <c r="I48" s="8">
        <v>0.05</v>
      </c>
      <c r="J48" s="7" t="s">
        <v>15</v>
      </c>
      <c r="K48" s="37">
        <f t="shared" si="0"/>
        <v>9000</v>
      </c>
    </row>
    <row r="49" spans="1:11" x14ac:dyDescent="0.3">
      <c r="A49" s="21" t="s">
        <v>86</v>
      </c>
      <c r="B49" s="6">
        <v>46258</v>
      </c>
      <c r="C49" s="7" t="s">
        <v>40</v>
      </c>
      <c r="D49" s="7" t="s">
        <v>27</v>
      </c>
      <c r="E49" s="7" t="s">
        <v>28</v>
      </c>
      <c r="F49" s="7" t="s">
        <v>29</v>
      </c>
      <c r="G49" s="7">
        <v>6</v>
      </c>
      <c r="H49" s="16">
        <v>2600</v>
      </c>
      <c r="I49" s="8">
        <v>0.1</v>
      </c>
      <c r="J49" s="7" t="s">
        <v>20</v>
      </c>
      <c r="K49" s="37">
        <f t="shared" si="0"/>
        <v>15600</v>
      </c>
    </row>
    <row r="50" spans="1:11" x14ac:dyDescent="0.3">
      <c r="A50" s="21" t="s">
        <v>87</v>
      </c>
      <c r="B50" s="6">
        <v>46259</v>
      </c>
      <c r="C50" s="7" t="s">
        <v>34</v>
      </c>
      <c r="D50" s="7" t="s">
        <v>35</v>
      </c>
      <c r="E50" s="7" t="s">
        <v>13</v>
      </c>
      <c r="F50" s="7" t="s">
        <v>14</v>
      </c>
      <c r="G50" s="7">
        <v>25</v>
      </c>
      <c r="H50" s="16">
        <v>730</v>
      </c>
      <c r="I50" s="8">
        <v>0.05</v>
      </c>
      <c r="J50" s="7" t="s">
        <v>15</v>
      </c>
      <c r="K50" s="37">
        <f t="shared" si="0"/>
        <v>18250</v>
      </c>
    </row>
    <row r="51" spans="1:11" x14ac:dyDescent="0.3">
      <c r="A51" s="21" t="s">
        <v>88</v>
      </c>
      <c r="B51" s="6">
        <v>46259</v>
      </c>
      <c r="C51" s="7" t="s">
        <v>55</v>
      </c>
      <c r="D51" s="7" t="s">
        <v>12</v>
      </c>
      <c r="E51" s="7" t="s">
        <v>18</v>
      </c>
      <c r="F51" s="7" t="s">
        <v>19</v>
      </c>
      <c r="G51" s="7">
        <v>2</v>
      </c>
      <c r="H51" s="16">
        <v>13000</v>
      </c>
      <c r="I51" s="8">
        <v>0.08</v>
      </c>
      <c r="J51" s="7" t="s">
        <v>20</v>
      </c>
      <c r="K51" s="37">
        <f t="shared" si="0"/>
        <v>26000</v>
      </c>
    </row>
  </sheetData>
  <mergeCells count="1">
    <mergeCell ref="M5:N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 Entry</vt:lpstr>
      <vt:lpstr>Formatting </vt:lpstr>
      <vt:lpstr>Conditional Formatting</vt:lpstr>
      <vt:lpstr>Filter And Sorting</vt:lpstr>
      <vt:lpstr>Table Creation</vt:lpstr>
      <vt:lpstr>Basic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Satvik Mishra</dc:creator>
  <cp:lastModifiedBy>Satvik Mishra</cp:lastModifiedBy>
  <dcterms:created xsi:type="dcterms:W3CDTF">2026-08-27T07:46:05Z</dcterms:created>
  <dcterms:modified xsi:type="dcterms:W3CDTF">2026-08-27T08:14:23Z</dcterms:modified>
</cp:coreProperties>
</file>