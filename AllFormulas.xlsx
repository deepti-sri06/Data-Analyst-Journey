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-Journey\"/>
    </mc:Choice>
  </mc:AlternateContent>
  <xr:revisionPtr revIDLastSave="0" documentId="13_ncr:1_{49876384-CE59-4C10-ADFB-38777A874CE1}" xr6:coauthVersionLast="47" xr6:coauthVersionMax="47" xr10:uidLastSave="{00000000-0000-0000-0000-000000000000}"/>
  <bookViews>
    <workbookView xWindow="-108" yWindow="-108" windowWidth="23256" windowHeight="12456" firstSheet="2" activeTab="4" xr2:uid="{B2E74E8D-C2E0-4FF2-9FF4-1E3D6DB0C417}"/>
  </bookViews>
  <sheets>
    <sheet name="Arithmetic Formulas " sheetId="1" r:id="rId1"/>
    <sheet name="Count , CountA,CountBlank " sheetId="2" r:id="rId2"/>
    <sheet name="Text Formulas " sheetId="3" r:id="rId3"/>
    <sheet name="DATE FORMULA" sheetId="4" r:id="rId4"/>
    <sheet name="Logical Formula" sheetId="5" r:id="rId5"/>
    <sheet name="Lookup and its all category" sheetId="6" r:id="rId6"/>
  </sheets>
  <definedNames>
    <definedName name="_xlnm._FilterDatabase" localSheetId="4" hidden="1">'Logical Formula'!$A$1:$O$16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U3" i="5"/>
  <c r="U4" i="5"/>
  <c r="U5" i="5"/>
  <c r="U6" i="5"/>
  <c r="U7" i="5"/>
  <c r="U8" i="5"/>
  <c r="U9" i="5"/>
  <c r="U10" i="5"/>
  <c r="U11" i="5"/>
  <c r="U12" i="5"/>
  <c r="U2" i="5"/>
  <c r="R3" i="5"/>
  <c r="R4" i="5"/>
  <c r="R5" i="5"/>
  <c r="R6" i="5"/>
  <c r="R7" i="5"/>
  <c r="R8" i="5"/>
  <c r="R9" i="5"/>
  <c r="R10" i="5"/>
  <c r="R11" i="5"/>
  <c r="R12" i="5"/>
  <c r="R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2" i="5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0" i="4"/>
  <c r="Q4" i="4"/>
  <c r="Q5" i="4"/>
  <c r="Q6" i="4"/>
  <c r="Q7" i="4"/>
  <c r="Q8" i="4"/>
  <c r="Q9" i="4"/>
  <c r="Q10" i="4"/>
  <c r="Q11" i="4"/>
  <c r="Q12" i="4"/>
  <c r="Q3" i="4"/>
  <c r="P4" i="4"/>
  <c r="P5" i="4"/>
  <c r="P6" i="4"/>
  <c r="P7" i="4"/>
  <c r="P8" i="4"/>
  <c r="P9" i="4"/>
  <c r="P10" i="4"/>
  <c r="P11" i="4"/>
  <c r="P12" i="4"/>
  <c r="P3" i="4"/>
  <c r="O4" i="4"/>
  <c r="O5" i="4"/>
  <c r="O6" i="4"/>
  <c r="O7" i="4"/>
  <c r="O8" i="4"/>
  <c r="O9" i="4"/>
  <c r="O10" i="4"/>
  <c r="O11" i="4"/>
  <c r="O12" i="4"/>
  <c r="O3" i="4"/>
  <c r="N4" i="4"/>
  <c r="N5" i="4"/>
  <c r="N6" i="4"/>
  <c r="N7" i="4"/>
  <c r="N8" i="4"/>
  <c r="N9" i="4"/>
  <c r="N10" i="4"/>
  <c r="N11" i="4"/>
  <c r="N12" i="4"/>
  <c r="N3" i="4"/>
  <c r="M4" i="4"/>
  <c r="M5" i="4"/>
  <c r="M6" i="4"/>
  <c r="M7" i="4"/>
  <c r="M8" i="4"/>
  <c r="M9" i="4"/>
  <c r="M10" i="4"/>
  <c r="M11" i="4"/>
  <c r="M12" i="4"/>
  <c r="M3" i="4"/>
  <c r="L4" i="4"/>
  <c r="L5" i="4"/>
  <c r="L6" i="4"/>
  <c r="L7" i="4"/>
  <c r="L8" i="4"/>
  <c r="L9" i="4"/>
  <c r="L10" i="4"/>
  <c r="L11" i="4"/>
  <c r="L12" i="4"/>
  <c r="L3" i="4"/>
  <c r="J4" i="4"/>
  <c r="J5" i="4"/>
  <c r="J6" i="4"/>
  <c r="J7" i="4"/>
  <c r="J8" i="4"/>
  <c r="J9" i="4"/>
  <c r="J10" i="4"/>
  <c r="J11" i="4"/>
  <c r="J12" i="4"/>
  <c r="J3" i="4"/>
  <c r="K4" i="4"/>
  <c r="K5" i="4"/>
  <c r="K6" i="4"/>
  <c r="K7" i="4"/>
  <c r="K8" i="4"/>
  <c r="K9" i="4"/>
  <c r="K10" i="4"/>
  <c r="K11" i="4"/>
  <c r="K12" i="4"/>
  <c r="K3" i="4"/>
  <c r="I4" i="4"/>
  <c r="I5" i="4"/>
  <c r="I6" i="4"/>
  <c r="I7" i="4"/>
  <c r="I8" i="4"/>
  <c r="I9" i="4"/>
  <c r="I10" i="4"/>
  <c r="I11" i="4"/>
  <c r="I12" i="4"/>
  <c r="I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F12" i="3"/>
  <c r="G12" i="3"/>
  <c r="H12" i="3"/>
  <c r="I12" i="3"/>
  <c r="J12" i="3"/>
  <c r="F13" i="3"/>
  <c r="G13" i="3"/>
  <c r="H13" i="3"/>
  <c r="I13" i="3"/>
  <c r="J13" i="3"/>
  <c r="F14" i="3"/>
  <c r="G14" i="3"/>
  <c r="H14" i="3"/>
  <c r="I14" i="3"/>
  <c r="J14" i="3"/>
  <c r="F15" i="3"/>
  <c r="G15" i="3"/>
  <c r="H15" i="3"/>
  <c r="I15" i="3"/>
  <c r="J15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F20" i="3"/>
  <c r="G20" i="3"/>
  <c r="H20" i="3"/>
  <c r="I20" i="3"/>
  <c r="J20" i="3"/>
  <c r="F21" i="3"/>
  <c r="G21" i="3"/>
  <c r="H21" i="3"/>
  <c r="I21" i="3"/>
  <c r="J21" i="3"/>
  <c r="F22" i="3"/>
  <c r="G22" i="3"/>
  <c r="H22" i="3"/>
  <c r="I22" i="3"/>
  <c r="J22" i="3"/>
  <c r="F23" i="3"/>
  <c r="G23" i="3"/>
  <c r="H23" i="3"/>
  <c r="I23" i="3"/>
  <c r="J23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F30" i="3"/>
  <c r="G30" i="3"/>
  <c r="H30" i="3"/>
  <c r="I30" i="3"/>
  <c r="J30" i="3"/>
  <c r="F31" i="3"/>
  <c r="G31" i="3"/>
  <c r="H31" i="3"/>
  <c r="I31" i="3"/>
  <c r="J31" i="3"/>
  <c r="J3" i="3"/>
  <c r="J4" i="3"/>
  <c r="J5" i="3"/>
  <c r="J6" i="3"/>
  <c r="J7" i="3"/>
  <c r="J8" i="3"/>
  <c r="J9" i="3"/>
  <c r="J10" i="3"/>
  <c r="J11" i="3"/>
  <c r="J2" i="3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</calcChain>
</file>

<file path=xl/sharedStrings.xml><?xml version="1.0" encoding="utf-8"?>
<sst xmlns="http://schemas.openxmlformats.org/spreadsheetml/2006/main" count="607" uniqueCount="184">
  <si>
    <t>Gender</t>
  </si>
  <si>
    <t>Age</t>
  </si>
  <si>
    <t>Amit</t>
  </si>
  <si>
    <t>M</t>
  </si>
  <si>
    <t>Priya</t>
  </si>
  <si>
    <t>F</t>
  </si>
  <si>
    <t>Rahul</t>
  </si>
  <si>
    <t>Neha</t>
  </si>
  <si>
    <t>Arjun</t>
  </si>
  <si>
    <t>Sneha</t>
  </si>
  <si>
    <t>Rohit</t>
  </si>
  <si>
    <t>Pooja</t>
  </si>
  <si>
    <t>Karan</t>
  </si>
  <si>
    <t>Anjali</t>
  </si>
  <si>
    <t>Vivek</t>
  </si>
  <si>
    <t>Riya</t>
  </si>
  <si>
    <t>Manish</t>
  </si>
  <si>
    <t>Simran</t>
  </si>
  <si>
    <t>Aditya</t>
  </si>
  <si>
    <t>Kavita</t>
  </si>
  <si>
    <t>Saurabh</t>
  </si>
  <si>
    <t>Nisha</t>
  </si>
  <si>
    <t>Varun</t>
  </si>
  <si>
    <t>Meera</t>
  </si>
  <si>
    <t>Deepak</t>
  </si>
  <si>
    <t>Aisha</t>
  </si>
  <si>
    <t>Mohit</t>
  </si>
  <si>
    <t>Tanya</t>
  </si>
  <si>
    <t>Nitin</t>
  </si>
  <si>
    <t>Shreya</t>
  </si>
  <si>
    <t>Akash</t>
  </si>
  <si>
    <t>Isha</t>
  </si>
  <si>
    <t>Sameer</t>
  </si>
  <si>
    <t>Divya</t>
  </si>
  <si>
    <t>StudentID</t>
  </si>
  <si>
    <t>StudentName</t>
  </si>
  <si>
    <t>Course</t>
  </si>
  <si>
    <t>English</t>
  </si>
  <si>
    <t>Maths</t>
  </si>
  <si>
    <t>Science</t>
  </si>
  <si>
    <t>Computer</t>
  </si>
  <si>
    <t>Attendance %</t>
  </si>
  <si>
    <t>BCA</t>
  </si>
  <si>
    <t>BBA</t>
  </si>
  <si>
    <t>BCom</t>
  </si>
  <si>
    <t>Sum</t>
  </si>
  <si>
    <t>AVG</t>
  </si>
  <si>
    <t>Minimum</t>
  </si>
  <si>
    <t>Maximum</t>
  </si>
  <si>
    <t>COUNT</t>
  </si>
  <si>
    <t>COUNTA</t>
  </si>
  <si>
    <t>COUNTBLANK</t>
  </si>
  <si>
    <t>A</t>
  </si>
  <si>
    <t>CourseCode</t>
  </si>
  <si>
    <t>City</t>
  </si>
  <si>
    <t>Phone</t>
  </si>
  <si>
    <t>rahul sharma</t>
  </si>
  <si>
    <t>BCA2026</t>
  </si>
  <si>
    <t>Lucknow</t>
  </si>
  <si>
    <t>PRIYA SINGH</t>
  </si>
  <si>
    <t>BBA2026</t>
  </si>
  <si>
    <t>Delhi</t>
  </si>
  <si>
    <t>amit kumar</t>
  </si>
  <si>
    <t>BCOM2026</t>
  </si>
  <si>
    <t>Kanpur</t>
  </si>
  <si>
    <t>rohit singh</t>
  </si>
  <si>
    <t>Noida</t>
  </si>
  <si>
    <t>SNEHA GUPTA</t>
  </si>
  <si>
    <t>karan mehta</t>
  </si>
  <si>
    <t>Jaipur</t>
  </si>
  <si>
    <t>Pooja Sharma</t>
  </si>
  <si>
    <t>ARJUN VERMA</t>
  </si>
  <si>
    <t>Vivek Kumar</t>
  </si>
  <si>
    <t>RIYA GUPTA</t>
  </si>
  <si>
    <t>mohit sharma</t>
  </si>
  <si>
    <t>Simran Verma</t>
  </si>
  <si>
    <t>ADITYA SINGH</t>
  </si>
  <si>
    <t>Saurabh Gupta</t>
  </si>
  <si>
    <t>NISHA SHARMA</t>
  </si>
  <si>
    <t>varun mehta</t>
  </si>
  <si>
    <t>Meera Singh</t>
  </si>
  <si>
    <t>DEEPAK KUMAR</t>
  </si>
  <si>
    <t>aisha verma</t>
  </si>
  <si>
    <t>Nitin Sharma</t>
  </si>
  <si>
    <t>SHREYA GUPTA</t>
  </si>
  <si>
    <t>akash singh</t>
  </si>
  <si>
    <t>Divya Kumar</t>
  </si>
  <si>
    <t>SAMEER VERMA</t>
  </si>
  <si>
    <t>isha sharma</t>
  </si>
  <si>
    <t>Manish Singh</t>
  </si>
  <si>
    <t>TANYA GUPTA</t>
  </si>
  <si>
    <t>MID</t>
  </si>
  <si>
    <t>LEFT</t>
  </si>
  <si>
    <t>RIGHT</t>
  </si>
  <si>
    <t>LEN</t>
  </si>
  <si>
    <t>TRIM</t>
  </si>
  <si>
    <t>Neha      Verma</t>
  </si>
  <si>
    <t>anjali           singh</t>
  </si>
  <si>
    <t>kavita          kumar</t>
  </si>
  <si>
    <t xml:space="preserve">UPPER </t>
  </si>
  <si>
    <t>LOWER</t>
  </si>
  <si>
    <t>PROPER</t>
  </si>
  <si>
    <t>EmployeeID</t>
  </si>
  <si>
    <t>Employee Name</t>
  </si>
  <si>
    <t>Joining Date</t>
  </si>
  <si>
    <t>Birth Date</t>
  </si>
  <si>
    <t>Project Start</t>
  </si>
  <si>
    <t>Project End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</si>
  <si>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</si>
  <si>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</si>
  <si>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</si>
  <si>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</si>
  <si>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</si>
  <si>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</si>
  <si>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</si>
  <si>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</si>
  <si>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</si>
  <si>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</si>
  <si>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</si>
  <si>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</si>
  <si>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</si>
  <si>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</si>
  <si>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</si>
  <si>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DAY</t>
  </si>
  <si>
    <t>MONTH</t>
  </si>
  <si>
    <t>YEAR</t>
  </si>
  <si>
    <t xml:space="preserve">DATE </t>
  </si>
  <si>
    <t>DAY , MONTH , YEAR, DATE</t>
  </si>
  <si>
    <t>TEXT</t>
  </si>
  <si>
    <t xml:space="preserve">TEXT </t>
  </si>
  <si>
    <t>DAYS</t>
  </si>
  <si>
    <t>NETWORKDAYS</t>
  </si>
  <si>
    <t>NETWORKDAYS.INTIL</t>
  </si>
  <si>
    <t>NETWORKS DAYS FORMULA</t>
  </si>
  <si>
    <t>Workday</t>
  </si>
  <si>
    <t>workday.intil</t>
  </si>
  <si>
    <t>ID</t>
  </si>
  <si>
    <t>Employee</t>
  </si>
  <si>
    <t>Department</t>
  </si>
  <si>
    <t>Salary</t>
  </si>
  <si>
    <t>Experience</t>
  </si>
  <si>
    <t>Performance</t>
  </si>
  <si>
    <t>Sales</t>
  </si>
  <si>
    <t>Target</t>
  </si>
  <si>
    <t>Good</t>
  </si>
  <si>
    <t>HR</t>
  </si>
  <si>
    <t>Excellent</t>
  </si>
  <si>
    <t>Finance</t>
  </si>
  <si>
    <t>Average</t>
  </si>
  <si>
    <t>IT</t>
  </si>
  <si>
    <t>Poor</t>
  </si>
  <si>
    <t>IF</t>
  </si>
  <si>
    <t>AND</t>
  </si>
  <si>
    <t>OR</t>
  </si>
  <si>
    <t>IF AND</t>
  </si>
  <si>
    <t xml:space="preserve">Amit </t>
  </si>
  <si>
    <t xml:space="preserve">Sneha </t>
  </si>
  <si>
    <t>Emp ID</t>
  </si>
  <si>
    <t>Location</t>
  </si>
  <si>
    <t>Grade</t>
  </si>
  <si>
    <t>E101</t>
  </si>
  <si>
    <t>B</t>
  </si>
  <si>
    <t>E102</t>
  </si>
  <si>
    <t>E103</t>
  </si>
  <si>
    <t>E104</t>
  </si>
  <si>
    <t>E105</t>
  </si>
  <si>
    <t>E106</t>
  </si>
  <si>
    <t>E107</t>
  </si>
  <si>
    <t>Marketing</t>
  </si>
  <si>
    <t>Mumbai</t>
  </si>
  <si>
    <t>E108</t>
  </si>
  <si>
    <t>E109</t>
  </si>
  <si>
    <t>E110</t>
  </si>
  <si>
    <t>E111</t>
  </si>
  <si>
    <t>E112</t>
  </si>
  <si>
    <t>E113</t>
  </si>
  <si>
    <t>E114</t>
  </si>
  <si>
    <t>E115</t>
  </si>
  <si>
    <t xml:space="preserve">SUMIFS </t>
  </si>
  <si>
    <t>AVGIF</t>
  </si>
  <si>
    <t>salary</t>
  </si>
  <si>
    <t>Total</t>
  </si>
  <si>
    <t>E116</t>
  </si>
  <si>
    <t>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</si>
</sst>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0.7999816888943144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CC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EB51C-2293-47F2-8437-0CA885BBA2FA}" name="Table1" displayName="Table1" ref="A1:G18" totalsRowCount="1" headerRowDxfId="20" dataDxfId="18" headerRowBorderDxfId="19" tableBorderDxfId="17" totalsRowBorderDxfId="16">
  <autoFilter ref="A1:G17" xr:uid="{426EB51C-2293-47F2-8437-0CA885BBA2FA}"/>
  <tableColumns count="7">
    <tableColumn id="1" xr3:uid="{5DF5F376-E488-43A2-874D-5A50C6CA2A37}" name="Emp ID" totalsRowLabel="Total" dataDxfId="15" totalsRowDxfId="14"/>
    <tableColumn id="2" xr3:uid="{0196F1C8-0AD6-4D1A-9090-70F4550A0E3E}" name="Employee Name" dataDxfId="13" totalsRowDxfId="12"/>
    <tableColumn id="3" xr3:uid="{80F00F0A-8875-4102-A360-B0A22C85EB4E}" name="Department" dataDxfId="11" totalsRowDxfId="10"/>
    <tableColumn id="4" xr3:uid="{78C90D32-E707-44AB-A1FA-6B95A73F0817}" name="Location" dataDxfId="9" totalsRowDxfId="8"/>
    <tableColumn id="5" xr3:uid="{0F003602-702D-4765-9CFE-07599D58F5B7}" name="Salary" dataDxfId="7" totalsRowDxfId="6"/>
    <tableColumn id="6" xr3:uid="{F8CA3023-7668-46FE-BACE-D3282B9716D1}" name="Experience" dataDxfId="5" totalsRowDxfId="4"/>
    <tableColumn id="7" xr3:uid="{B24A1B3E-07FA-4DE1-B627-09DEFF100BCD}" name="Grade" totalsRowFunction="count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8E79-3AB6-492F-A2F6-805D31BA9C41}">
  <dimension ref="A1:N31"/>
  <sheetViews>
    <sheetView workbookViewId="0">
      <selection activeCell="N1" sqref="N1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7.109375" bestFit="1" customWidth="1"/>
    <col min="4" max="4" width="6.77734375" bestFit="1" customWidth="1"/>
    <col min="5" max="5" width="4.21875" bestFit="1" customWidth="1"/>
    <col min="6" max="6" width="6.88671875" bestFit="1" customWidth="1"/>
    <col min="7" max="7" width="6.33203125" bestFit="1" customWidth="1"/>
    <col min="8" max="8" width="7.33203125" bestFit="1" customWidth="1"/>
    <col min="9" max="9" width="9.44140625" bestFit="1" customWidth="1"/>
    <col min="10" max="10" width="12.6640625" bestFit="1" customWidth="1"/>
    <col min="11" max="11" width="4.77734375" bestFit="1" customWidth="1"/>
    <col min="12" max="12" width="5.5546875" bestFit="1" customWidth="1"/>
    <col min="13" max="13" width="9.21875" bestFit="1" customWidth="1"/>
    <col min="14" max="14" width="9.5546875" bestFit="1" customWidth="1"/>
  </cols>
  <sheetData>
    <row r="1" spans="1:14" x14ac:dyDescent="0.3">
      <c r="A1" s="9" t="s">
        <v>34</v>
      </c>
      <c r="B1" s="10" t="s">
        <v>35</v>
      </c>
      <c r="C1" s="10" t="s">
        <v>0</v>
      </c>
      <c r="D1" s="10" t="s">
        <v>36</v>
      </c>
      <c r="E1" s="10" t="s">
        <v>1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48" t="s">
        <v>45</v>
      </c>
      <c r="L1" s="49" t="s">
        <v>46</v>
      </c>
      <c r="M1" s="50" t="s">
        <v>47</v>
      </c>
      <c r="N1" s="11" t="s">
        <v>48</v>
      </c>
    </row>
    <row r="2" spans="1:14" x14ac:dyDescent="0.3">
      <c r="A2" s="5">
        <v>1001</v>
      </c>
      <c r="B2" s="3" t="s">
        <v>6</v>
      </c>
      <c r="C2" s="3" t="s">
        <v>3</v>
      </c>
      <c r="D2" s="3" t="s">
        <v>42</v>
      </c>
      <c r="E2" s="3">
        <v>20</v>
      </c>
      <c r="F2" s="3">
        <v>78</v>
      </c>
      <c r="G2" s="3">
        <v>85</v>
      </c>
      <c r="H2" s="3">
        <v>72</v>
      </c>
      <c r="I2" s="3">
        <v>90</v>
      </c>
      <c r="J2" s="4">
        <v>0.92</v>
      </c>
      <c r="K2" s="15">
        <f>SUM(F2:I2)</f>
        <v>325</v>
      </c>
      <c r="L2" s="16">
        <f>AVERAGE(F2:I2)</f>
        <v>81.25</v>
      </c>
      <c r="M2" s="15">
        <f>MIN(F2:I2)</f>
        <v>72</v>
      </c>
      <c r="N2" s="17">
        <f>MAX(F2:I2)</f>
        <v>90</v>
      </c>
    </row>
    <row r="3" spans="1:14" x14ac:dyDescent="0.3">
      <c r="A3" s="5">
        <v>1002</v>
      </c>
      <c r="B3" s="3" t="s">
        <v>4</v>
      </c>
      <c r="C3" s="3" t="s">
        <v>5</v>
      </c>
      <c r="D3" s="3" t="s">
        <v>42</v>
      </c>
      <c r="E3" s="3">
        <v>21</v>
      </c>
      <c r="F3" s="3">
        <v>88</v>
      </c>
      <c r="G3" s="3">
        <v>76</v>
      </c>
      <c r="H3" s="3">
        <v>84</v>
      </c>
      <c r="I3" s="3">
        <v>95</v>
      </c>
      <c r="J3" s="4">
        <v>0.96</v>
      </c>
      <c r="K3" s="15">
        <f t="shared" ref="K3:K31" si="0">SUM(F3:I3)</f>
        <v>343</v>
      </c>
      <c r="L3" s="16">
        <f t="shared" ref="L3:L31" si="1">AVERAGE(F3:I3)</f>
        <v>85.75</v>
      </c>
      <c r="M3" s="15">
        <f t="shared" ref="M3:M31" si="2">MIN(F3:I3)</f>
        <v>76</v>
      </c>
      <c r="N3" s="17">
        <f t="shared" ref="N3:N31" si="3">MAX(F3:I3)</f>
        <v>95</v>
      </c>
    </row>
    <row r="4" spans="1:14" x14ac:dyDescent="0.3">
      <c r="A4" s="5">
        <v>1003</v>
      </c>
      <c r="B4" s="3" t="s">
        <v>2</v>
      </c>
      <c r="C4" s="3" t="s">
        <v>3</v>
      </c>
      <c r="D4" s="3" t="s">
        <v>43</v>
      </c>
      <c r="E4" s="3">
        <v>20</v>
      </c>
      <c r="F4" s="3">
        <v>65</v>
      </c>
      <c r="G4" s="3">
        <v>72</v>
      </c>
      <c r="H4" s="3">
        <v>68</v>
      </c>
      <c r="I4" s="3">
        <v>75</v>
      </c>
      <c r="J4" s="4">
        <v>0.85</v>
      </c>
      <c r="K4" s="15">
        <f t="shared" si="0"/>
        <v>280</v>
      </c>
      <c r="L4" s="16">
        <f t="shared" si="1"/>
        <v>70</v>
      </c>
      <c r="M4" s="15">
        <f t="shared" si="2"/>
        <v>65</v>
      </c>
      <c r="N4" s="17">
        <f t="shared" si="3"/>
        <v>75</v>
      </c>
    </row>
    <row r="5" spans="1:14" x14ac:dyDescent="0.3">
      <c r="A5" s="5">
        <v>1004</v>
      </c>
      <c r="B5" s="3" t="s">
        <v>7</v>
      </c>
      <c r="C5" s="3" t="s">
        <v>5</v>
      </c>
      <c r="D5" s="3" t="s">
        <v>42</v>
      </c>
      <c r="E5" s="3">
        <v>19</v>
      </c>
      <c r="F5" s="3">
        <v>92</v>
      </c>
      <c r="G5" s="3">
        <v>89</v>
      </c>
      <c r="H5" s="3">
        <v>91</v>
      </c>
      <c r="I5" s="3">
        <v>94</v>
      </c>
      <c r="J5" s="4">
        <v>0.98</v>
      </c>
      <c r="K5" s="15">
        <f t="shared" si="0"/>
        <v>366</v>
      </c>
      <c r="L5" s="16">
        <f t="shared" si="1"/>
        <v>91.5</v>
      </c>
      <c r="M5" s="15">
        <f t="shared" si="2"/>
        <v>89</v>
      </c>
      <c r="N5" s="17">
        <f t="shared" si="3"/>
        <v>94</v>
      </c>
    </row>
    <row r="6" spans="1:14" x14ac:dyDescent="0.3">
      <c r="A6" s="5">
        <v>1005</v>
      </c>
      <c r="B6" s="3" t="s">
        <v>10</v>
      </c>
      <c r="C6" s="3" t="s">
        <v>3</v>
      </c>
      <c r="D6" s="3" t="s">
        <v>44</v>
      </c>
      <c r="E6" s="3">
        <v>22</v>
      </c>
      <c r="F6" s="3">
        <v>70</v>
      </c>
      <c r="G6" s="3">
        <v>68</v>
      </c>
      <c r="H6" s="3">
        <v>74</v>
      </c>
      <c r="I6" s="3">
        <v>80</v>
      </c>
      <c r="J6" s="4">
        <v>0.88</v>
      </c>
      <c r="K6" s="15">
        <f t="shared" si="0"/>
        <v>292</v>
      </c>
      <c r="L6" s="16">
        <f t="shared" si="1"/>
        <v>73</v>
      </c>
      <c r="M6" s="15">
        <f t="shared" si="2"/>
        <v>68</v>
      </c>
      <c r="N6" s="17">
        <f t="shared" si="3"/>
        <v>80</v>
      </c>
    </row>
    <row r="7" spans="1:14" x14ac:dyDescent="0.3">
      <c r="A7" s="5">
        <v>1006</v>
      </c>
      <c r="B7" s="3" t="s">
        <v>9</v>
      </c>
      <c r="C7" s="3" t="s">
        <v>5</v>
      </c>
      <c r="D7" s="3" t="s">
        <v>42</v>
      </c>
      <c r="E7" s="3">
        <v>20</v>
      </c>
      <c r="F7" s="3">
        <v>84</v>
      </c>
      <c r="G7" s="3">
        <v>91</v>
      </c>
      <c r="H7" s="3">
        <v>87</v>
      </c>
      <c r="I7" s="3">
        <v>89</v>
      </c>
      <c r="J7" s="4">
        <v>0.94</v>
      </c>
      <c r="K7" s="15">
        <f t="shared" si="0"/>
        <v>351</v>
      </c>
      <c r="L7" s="16">
        <f t="shared" si="1"/>
        <v>87.75</v>
      </c>
      <c r="M7" s="15">
        <f t="shared" si="2"/>
        <v>84</v>
      </c>
      <c r="N7" s="17">
        <f t="shared" si="3"/>
        <v>91</v>
      </c>
    </row>
    <row r="8" spans="1:14" x14ac:dyDescent="0.3">
      <c r="A8" s="5">
        <v>1007</v>
      </c>
      <c r="B8" s="3" t="s">
        <v>12</v>
      </c>
      <c r="C8" s="3" t="s">
        <v>3</v>
      </c>
      <c r="D8" s="3" t="s">
        <v>43</v>
      </c>
      <c r="E8" s="3">
        <v>21</v>
      </c>
      <c r="F8" s="3">
        <v>76</v>
      </c>
      <c r="G8" s="3">
        <v>64</v>
      </c>
      <c r="H8" s="3">
        <v>70</v>
      </c>
      <c r="I8" s="3">
        <v>78</v>
      </c>
      <c r="J8" s="4">
        <v>0.82</v>
      </c>
      <c r="K8" s="15">
        <f t="shared" si="0"/>
        <v>288</v>
      </c>
      <c r="L8" s="16">
        <f t="shared" si="1"/>
        <v>72</v>
      </c>
      <c r="M8" s="15">
        <f t="shared" si="2"/>
        <v>64</v>
      </c>
      <c r="N8" s="17">
        <f t="shared" si="3"/>
        <v>78</v>
      </c>
    </row>
    <row r="9" spans="1:14" x14ac:dyDescent="0.3">
      <c r="A9" s="5">
        <v>1008</v>
      </c>
      <c r="B9" s="3" t="s">
        <v>11</v>
      </c>
      <c r="C9" s="3" t="s">
        <v>5</v>
      </c>
      <c r="D9" s="3" t="s">
        <v>44</v>
      </c>
      <c r="E9" s="3">
        <v>20</v>
      </c>
      <c r="F9" s="3">
        <v>81</v>
      </c>
      <c r="G9" s="3">
        <v>79</v>
      </c>
      <c r="H9" s="3">
        <v>85</v>
      </c>
      <c r="I9" s="3">
        <v>88</v>
      </c>
      <c r="J9" s="4">
        <v>0.91</v>
      </c>
      <c r="K9" s="15">
        <f t="shared" si="0"/>
        <v>333</v>
      </c>
      <c r="L9" s="16">
        <f t="shared" si="1"/>
        <v>83.25</v>
      </c>
      <c r="M9" s="15">
        <f t="shared" si="2"/>
        <v>79</v>
      </c>
      <c r="N9" s="17">
        <f t="shared" si="3"/>
        <v>88</v>
      </c>
    </row>
    <row r="10" spans="1:14" x14ac:dyDescent="0.3">
      <c r="A10" s="5">
        <v>1009</v>
      </c>
      <c r="B10" s="3" t="s">
        <v>8</v>
      </c>
      <c r="C10" s="3" t="s">
        <v>3</v>
      </c>
      <c r="D10" s="3" t="s">
        <v>42</v>
      </c>
      <c r="E10" s="3">
        <v>19</v>
      </c>
      <c r="F10" s="3">
        <v>90</v>
      </c>
      <c r="G10" s="3">
        <v>94</v>
      </c>
      <c r="H10" s="3">
        <v>88</v>
      </c>
      <c r="I10" s="3">
        <v>96</v>
      </c>
      <c r="J10" s="4">
        <v>0.99</v>
      </c>
      <c r="K10" s="15">
        <f t="shared" si="0"/>
        <v>368</v>
      </c>
      <c r="L10" s="16">
        <f t="shared" si="1"/>
        <v>92</v>
      </c>
      <c r="M10" s="15">
        <f t="shared" si="2"/>
        <v>88</v>
      </c>
      <c r="N10" s="17">
        <f t="shared" si="3"/>
        <v>96</v>
      </c>
    </row>
    <row r="11" spans="1:14" x14ac:dyDescent="0.3">
      <c r="A11" s="5">
        <v>1010</v>
      </c>
      <c r="B11" s="3" t="s">
        <v>13</v>
      </c>
      <c r="C11" s="3" t="s">
        <v>5</v>
      </c>
      <c r="D11" s="3" t="s">
        <v>43</v>
      </c>
      <c r="E11" s="3">
        <v>22</v>
      </c>
      <c r="F11" s="3">
        <v>73</v>
      </c>
      <c r="G11" s="3">
        <v>81</v>
      </c>
      <c r="H11" s="3">
        <v>76</v>
      </c>
      <c r="I11" s="3">
        <v>84</v>
      </c>
      <c r="J11" s="4">
        <v>0.89</v>
      </c>
      <c r="K11" s="15">
        <f t="shared" si="0"/>
        <v>314</v>
      </c>
      <c r="L11" s="16">
        <f t="shared" si="1"/>
        <v>78.5</v>
      </c>
      <c r="M11" s="15">
        <f t="shared" si="2"/>
        <v>73</v>
      </c>
      <c r="N11" s="17">
        <f t="shared" si="3"/>
        <v>84</v>
      </c>
    </row>
    <row r="12" spans="1:14" x14ac:dyDescent="0.3">
      <c r="A12" s="5">
        <v>1011</v>
      </c>
      <c r="B12" s="3" t="s">
        <v>14</v>
      </c>
      <c r="C12" s="3" t="s">
        <v>3</v>
      </c>
      <c r="D12" s="3" t="s">
        <v>44</v>
      </c>
      <c r="E12" s="3">
        <v>21</v>
      </c>
      <c r="F12" s="3">
        <v>68</v>
      </c>
      <c r="G12" s="3">
        <v>75</v>
      </c>
      <c r="H12" s="3">
        <v>71</v>
      </c>
      <c r="I12" s="3">
        <v>73</v>
      </c>
      <c r="J12" s="4">
        <v>0.84</v>
      </c>
      <c r="K12" s="15">
        <f t="shared" si="0"/>
        <v>287</v>
      </c>
      <c r="L12" s="16">
        <f t="shared" si="1"/>
        <v>71.75</v>
      </c>
      <c r="M12" s="15">
        <f t="shared" si="2"/>
        <v>68</v>
      </c>
      <c r="N12" s="17">
        <f t="shared" si="3"/>
        <v>75</v>
      </c>
    </row>
    <row r="13" spans="1:14" x14ac:dyDescent="0.3">
      <c r="A13" s="5">
        <v>1012</v>
      </c>
      <c r="B13" s="3" t="s">
        <v>15</v>
      </c>
      <c r="C13" s="3" t="s">
        <v>5</v>
      </c>
      <c r="D13" s="3" t="s">
        <v>42</v>
      </c>
      <c r="E13" s="3">
        <v>20</v>
      </c>
      <c r="F13" s="3">
        <v>95</v>
      </c>
      <c r="G13" s="3">
        <v>92</v>
      </c>
      <c r="H13" s="3">
        <v>94</v>
      </c>
      <c r="I13" s="3">
        <v>97</v>
      </c>
      <c r="J13" s="4">
        <v>0.97</v>
      </c>
      <c r="K13" s="15">
        <f t="shared" si="0"/>
        <v>378</v>
      </c>
      <c r="L13" s="16">
        <f t="shared" si="1"/>
        <v>94.5</v>
      </c>
      <c r="M13" s="15">
        <f t="shared" si="2"/>
        <v>92</v>
      </c>
      <c r="N13" s="17">
        <f t="shared" si="3"/>
        <v>97</v>
      </c>
    </row>
    <row r="14" spans="1:14" x14ac:dyDescent="0.3">
      <c r="A14" s="5">
        <v>1013</v>
      </c>
      <c r="B14" s="3" t="s">
        <v>26</v>
      </c>
      <c r="C14" s="3" t="s">
        <v>3</v>
      </c>
      <c r="D14" s="3" t="s">
        <v>43</v>
      </c>
      <c r="E14" s="3">
        <v>23</v>
      </c>
      <c r="F14" s="3">
        <v>72</v>
      </c>
      <c r="G14" s="3">
        <v>69</v>
      </c>
      <c r="H14" s="3">
        <v>65</v>
      </c>
      <c r="I14" s="3">
        <v>70</v>
      </c>
      <c r="J14" s="4">
        <v>0.8</v>
      </c>
      <c r="K14" s="15">
        <f t="shared" si="0"/>
        <v>276</v>
      </c>
      <c r="L14" s="16">
        <f t="shared" si="1"/>
        <v>69</v>
      </c>
      <c r="M14" s="15">
        <f t="shared" si="2"/>
        <v>65</v>
      </c>
      <c r="N14" s="17">
        <f t="shared" si="3"/>
        <v>72</v>
      </c>
    </row>
    <row r="15" spans="1:14" x14ac:dyDescent="0.3">
      <c r="A15" s="5">
        <v>1014</v>
      </c>
      <c r="B15" s="3" t="s">
        <v>17</v>
      </c>
      <c r="C15" s="3" t="s">
        <v>5</v>
      </c>
      <c r="D15" s="3" t="s">
        <v>42</v>
      </c>
      <c r="E15" s="3">
        <v>19</v>
      </c>
      <c r="F15" s="3">
        <v>86</v>
      </c>
      <c r="G15" s="3">
        <v>88</v>
      </c>
      <c r="H15" s="3">
        <v>82</v>
      </c>
      <c r="I15" s="3">
        <v>91</v>
      </c>
      <c r="J15" s="4">
        <v>0.93</v>
      </c>
      <c r="K15" s="15">
        <f t="shared" si="0"/>
        <v>347</v>
      </c>
      <c r="L15" s="16">
        <f t="shared" si="1"/>
        <v>86.75</v>
      </c>
      <c r="M15" s="15">
        <f t="shared" si="2"/>
        <v>82</v>
      </c>
      <c r="N15" s="17">
        <f t="shared" si="3"/>
        <v>91</v>
      </c>
    </row>
    <row r="16" spans="1:14" x14ac:dyDescent="0.3">
      <c r="A16" s="5">
        <v>1015</v>
      </c>
      <c r="B16" s="3" t="s">
        <v>18</v>
      </c>
      <c r="C16" s="3" t="s">
        <v>3</v>
      </c>
      <c r="D16" s="3" t="s">
        <v>44</v>
      </c>
      <c r="E16" s="3">
        <v>21</v>
      </c>
      <c r="F16" s="3">
        <v>79</v>
      </c>
      <c r="G16" s="3">
        <v>83</v>
      </c>
      <c r="H16" s="3">
        <v>77</v>
      </c>
      <c r="I16" s="3">
        <v>85</v>
      </c>
      <c r="J16" s="4">
        <v>0.9</v>
      </c>
      <c r="K16" s="15">
        <f t="shared" si="0"/>
        <v>324</v>
      </c>
      <c r="L16" s="16">
        <f t="shared" si="1"/>
        <v>81</v>
      </c>
      <c r="M16" s="15">
        <f t="shared" si="2"/>
        <v>77</v>
      </c>
      <c r="N16" s="17">
        <f t="shared" si="3"/>
        <v>85</v>
      </c>
    </row>
    <row r="17" spans="1:14" x14ac:dyDescent="0.3">
      <c r="A17" s="5">
        <v>1016</v>
      </c>
      <c r="B17" s="3" t="s">
        <v>19</v>
      </c>
      <c r="C17" s="3" t="s">
        <v>5</v>
      </c>
      <c r="D17" s="3" t="s">
        <v>43</v>
      </c>
      <c r="E17" s="3">
        <v>20</v>
      </c>
      <c r="F17" s="3">
        <v>91</v>
      </c>
      <c r="G17" s="3">
        <v>87</v>
      </c>
      <c r="H17" s="3">
        <v>90</v>
      </c>
      <c r="I17" s="3">
        <v>92</v>
      </c>
      <c r="J17" s="4">
        <v>0.95</v>
      </c>
      <c r="K17" s="15">
        <f t="shared" si="0"/>
        <v>360</v>
      </c>
      <c r="L17" s="16">
        <f t="shared" si="1"/>
        <v>90</v>
      </c>
      <c r="M17" s="15">
        <f t="shared" si="2"/>
        <v>87</v>
      </c>
      <c r="N17" s="17">
        <f t="shared" si="3"/>
        <v>92</v>
      </c>
    </row>
    <row r="18" spans="1:14" x14ac:dyDescent="0.3">
      <c r="A18" s="5">
        <v>1017</v>
      </c>
      <c r="B18" s="3" t="s">
        <v>20</v>
      </c>
      <c r="C18" s="3" t="s">
        <v>3</v>
      </c>
      <c r="D18" s="3" t="s">
        <v>42</v>
      </c>
      <c r="E18" s="3">
        <v>22</v>
      </c>
      <c r="F18" s="3">
        <v>67</v>
      </c>
      <c r="G18" s="3">
        <v>74</v>
      </c>
      <c r="H18" s="3">
        <v>69</v>
      </c>
      <c r="I18" s="3">
        <v>77</v>
      </c>
      <c r="J18" s="4">
        <v>0.86</v>
      </c>
      <c r="K18" s="15">
        <f t="shared" si="0"/>
        <v>287</v>
      </c>
      <c r="L18" s="16">
        <f t="shared" si="1"/>
        <v>71.75</v>
      </c>
      <c r="M18" s="15">
        <f t="shared" si="2"/>
        <v>67</v>
      </c>
      <c r="N18" s="17">
        <f t="shared" si="3"/>
        <v>77</v>
      </c>
    </row>
    <row r="19" spans="1:14" x14ac:dyDescent="0.3">
      <c r="A19" s="5">
        <v>1018</v>
      </c>
      <c r="B19" s="3" t="s">
        <v>21</v>
      </c>
      <c r="C19" s="3" t="s">
        <v>5</v>
      </c>
      <c r="D19" s="3" t="s">
        <v>44</v>
      </c>
      <c r="E19" s="3">
        <v>19</v>
      </c>
      <c r="F19" s="3">
        <v>83</v>
      </c>
      <c r="G19" s="3">
        <v>78</v>
      </c>
      <c r="H19" s="3">
        <v>81</v>
      </c>
      <c r="I19" s="3">
        <v>86</v>
      </c>
      <c r="J19" s="4">
        <v>0.92</v>
      </c>
      <c r="K19" s="15">
        <f t="shared" si="0"/>
        <v>328</v>
      </c>
      <c r="L19" s="16">
        <f t="shared" si="1"/>
        <v>82</v>
      </c>
      <c r="M19" s="15">
        <f t="shared" si="2"/>
        <v>78</v>
      </c>
      <c r="N19" s="17">
        <f t="shared" si="3"/>
        <v>86</v>
      </c>
    </row>
    <row r="20" spans="1:14" x14ac:dyDescent="0.3">
      <c r="A20" s="5">
        <v>1019</v>
      </c>
      <c r="B20" s="3" t="s">
        <v>22</v>
      </c>
      <c r="C20" s="3" t="s">
        <v>3</v>
      </c>
      <c r="D20" s="3" t="s">
        <v>42</v>
      </c>
      <c r="E20" s="3">
        <v>20</v>
      </c>
      <c r="F20" s="3">
        <v>89</v>
      </c>
      <c r="G20" s="3">
        <v>96</v>
      </c>
      <c r="H20" s="3">
        <v>92</v>
      </c>
      <c r="I20" s="3">
        <v>94</v>
      </c>
      <c r="J20" s="4">
        <v>0.98</v>
      </c>
      <c r="K20" s="15">
        <f t="shared" si="0"/>
        <v>371</v>
      </c>
      <c r="L20" s="16">
        <f t="shared" si="1"/>
        <v>92.75</v>
      </c>
      <c r="M20" s="15">
        <f t="shared" si="2"/>
        <v>89</v>
      </c>
      <c r="N20" s="17">
        <f t="shared" si="3"/>
        <v>96</v>
      </c>
    </row>
    <row r="21" spans="1:14" x14ac:dyDescent="0.3">
      <c r="A21" s="5">
        <v>1020</v>
      </c>
      <c r="B21" s="3" t="s">
        <v>23</v>
      </c>
      <c r="C21" s="3" t="s">
        <v>5</v>
      </c>
      <c r="D21" s="3" t="s">
        <v>43</v>
      </c>
      <c r="E21" s="3">
        <v>21</v>
      </c>
      <c r="F21" s="3">
        <v>75</v>
      </c>
      <c r="G21" s="3">
        <v>82</v>
      </c>
      <c r="H21" s="3">
        <v>79</v>
      </c>
      <c r="I21" s="3">
        <v>87</v>
      </c>
      <c r="J21" s="4">
        <v>0.9</v>
      </c>
      <c r="K21" s="15">
        <f t="shared" si="0"/>
        <v>323</v>
      </c>
      <c r="L21" s="16">
        <f t="shared" si="1"/>
        <v>80.75</v>
      </c>
      <c r="M21" s="15">
        <f t="shared" si="2"/>
        <v>75</v>
      </c>
      <c r="N21" s="17">
        <f t="shared" si="3"/>
        <v>87</v>
      </c>
    </row>
    <row r="22" spans="1:14" x14ac:dyDescent="0.3">
      <c r="A22" s="5">
        <v>1021</v>
      </c>
      <c r="B22" s="3" t="s">
        <v>24</v>
      </c>
      <c r="C22" s="3" t="s">
        <v>3</v>
      </c>
      <c r="D22" s="3" t="s">
        <v>44</v>
      </c>
      <c r="E22" s="3">
        <v>22</v>
      </c>
      <c r="F22" s="3">
        <v>64</v>
      </c>
      <c r="G22" s="3">
        <v>71</v>
      </c>
      <c r="H22" s="3">
        <v>67</v>
      </c>
      <c r="I22" s="3">
        <v>72</v>
      </c>
      <c r="J22" s="4">
        <v>0.79</v>
      </c>
      <c r="K22" s="15">
        <f t="shared" si="0"/>
        <v>274</v>
      </c>
      <c r="L22" s="16">
        <f t="shared" si="1"/>
        <v>68.5</v>
      </c>
      <c r="M22" s="15">
        <f t="shared" si="2"/>
        <v>64</v>
      </c>
      <c r="N22" s="17">
        <f t="shared" si="3"/>
        <v>72</v>
      </c>
    </row>
    <row r="23" spans="1:14" x14ac:dyDescent="0.3">
      <c r="A23" s="5">
        <v>1022</v>
      </c>
      <c r="B23" s="3" t="s">
        <v>25</v>
      </c>
      <c r="C23" s="3" t="s">
        <v>5</v>
      </c>
      <c r="D23" s="3" t="s">
        <v>42</v>
      </c>
      <c r="E23" s="3">
        <v>20</v>
      </c>
      <c r="F23" s="3">
        <v>87</v>
      </c>
      <c r="G23" s="3">
        <v>90</v>
      </c>
      <c r="H23" s="3">
        <v>86</v>
      </c>
      <c r="I23" s="3">
        <v>93</v>
      </c>
      <c r="J23" s="4">
        <v>0.96</v>
      </c>
      <c r="K23" s="15">
        <f t="shared" si="0"/>
        <v>356</v>
      </c>
      <c r="L23" s="16">
        <f t="shared" si="1"/>
        <v>89</v>
      </c>
      <c r="M23" s="15">
        <f t="shared" si="2"/>
        <v>86</v>
      </c>
      <c r="N23" s="17">
        <f t="shared" si="3"/>
        <v>93</v>
      </c>
    </row>
    <row r="24" spans="1:14" x14ac:dyDescent="0.3">
      <c r="A24" s="5">
        <v>1023</v>
      </c>
      <c r="B24" s="3" t="s">
        <v>28</v>
      </c>
      <c r="C24" s="3" t="s">
        <v>3</v>
      </c>
      <c r="D24" s="3" t="s">
        <v>43</v>
      </c>
      <c r="E24" s="3">
        <v>19</v>
      </c>
      <c r="F24" s="3">
        <v>71</v>
      </c>
      <c r="G24" s="3">
        <v>66</v>
      </c>
      <c r="H24" s="3">
        <v>73</v>
      </c>
      <c r="I24" s="3">
        <v>76</v>
      </c>
      <c r="J24" s="4">
        <v>0.83</v>
      </c>
      <c r="K24" s="15">
        <f t="shared" si="0"/>
        <v>286</v>
      </c>
      <c r="L24" s="16">
        <f t="shared" si="1"/>
        <v>71.5</v>
      </c>
      <c r="M24" s="15">
        <f t="shared" si="2"/>
        <v>66</v>
      </c>
      <c r="N24" s="17">
        <f t="shared" si="3"/>
        <v>76</v>
      </c>
    </row>
    <row r="25" spans="1:14" x14ac:dyDescent="0.3">
      <c r="A25" s="5">
        <v>1024</v>
      </c>
      <c r="B25" s="3" t="s">
        <v>29</v>
      </c>
      <c r="C25" s="3" t="s">
        <v>5</v>
      </c>
      <c r="D25" s="3" t="s">
        <v>42</v>
      </c>
      <c r="E25" s="3">
        <v>21</v>
      </c>
      <c r="F25" s="3">
        <v>93</v>
      </c>
      <c r="G25" s="3">
        <v>95</v>
      </c>
      <c r="H25" s="3">
        <v>89</v>
      </c>
      <c r="I25" s="3">
        <v>98</v>
      </c>
      <c r="J25" s="4">
        <v>0.99</v>
      </c>
      <c r="K25" s="15">
        <f t="shared" si="0"/>
        <v>375</v>
      </c>
      <c r="L25" s="16">
        <f t="shared" si="1"/>
        <v>93.75</v>
      </c>
      <c r="M25" s="15">
        <f t="shared" si="2"/>
        <v>89</v>
      </c>
      <c r="N25" s="17">
        <f t="shared" si="3"/>
        <v>98</v>
      </c>
    </row>
    <row r="26" spans="1:14" x14ac:dyDescent="0.3">
      <c r="A26" s="5">
        <v>1025</v>
      </c>
      <c r="B26" s="3" t="s">
        <v>30</v>
      </c>
      <c r="C26" s="3" t="s">
        <v>3</v>
      </c>
      <c r="D26" s="3" t="s">
        <v>44</v>
      </c>
      <c r="E26" s="3">
        <v>23</v>
      </c>
      <c r="F26" s="3">
        <v>69</v>
      </c>
      <c r="G26" s="3">
        <v>77</v>
      </c>
      <c r="H26" s="3">
        <v>70</v>
      </c>
      <c r="I26" s="3">
        <v>81</v>
      </c>
      <c r="J26" s="4">
        <v>0.87</v>
      </c>
      <c r="K26" s="15">
        <f t="shared" si="0"/>
        <v>297</v>
      </c>
      <c r="L26" s="16">
        <f t="shared" si="1"/>
        <v>74.25</v>
      </c>
      <c r="M26" s="15">
        <f t="shared" si="2"/>
        <v>69</v>
      </c>
      <c r="N26" s="17">
        <f t="shared" si="3"/>
        <v>81</v>
      </c>
    </row>
    <row r="27" spans="1:14" x14ac:dyDescent="0.3">
      <c r="A27" s="5">
        <v>1026</v>
      </c>
      <c r="B27" s="3" t="s">
        <v>31</v>
      </c>
      <c r="C27" s="3" t="s">
        <v>5</v>
      </c>
      <c r="D27" s="3" t="s">
        <v>43</v>
      </c>
      <c r="E27" s="3">
        <v>20</v>
      </c>
      <c r="F27" s="3">
        <v>80</v>
      </c>
      <c r="G27" s="3">
        <v>85</v>
      </c>
      <c r="H27" s="3">
        <v>83</v>
      </c>
      <c r="I27" s="3">
        <v>88</v>
      </c>
      <c r="J27" s="4">
        <v>0.94</v>
      </c>
      <c r="K27" s="15">
        <f t="shared" si="0"/>
        <v>336</v>
      </c>
      <c r="L27" s="16">
        <f t="shared" si="1"/>
        <v>84</v>
      </c>
      <c r="M27" s="15">
        <f t="shared" si="2"/>
        <v>80</v>
      </c>
      <c r="N27" s="17">
        <f t="shared" si="3"/>
        <v>88</v>
      </c>
    </row>
    <row r="28" spans="1:14" x14ac:dyDescent="0.3">
      <c r="A28" s="5">
        <v>1027</v>
      </c>
      <c r="B28" s="3" t="s">
        <v>32</v>
      </c>
      <c r="C28" s="3" t="s">
        <v>3</v>
      </c>
      <c r="D28" s="3" t="s">
        <v>42</v>
      </c>
      <c r="E28" s="3">
        <v>21</v>
      </c>
      <c r="F28" s="3">
        <v>77</v>
      </c>
      <c r="G28" s="3">
        <v>80</v>
      </c>
      <c r="H28" s="3">
        <v>75</v>
      </c>
      <c r="I28" s="3">
        <v>84</v>
      </c>
      <c r="J28" s="4">
        <v>0.89</v>
      </c>
      <c r="K28" s="15">
        <f t="shared" si="0"/>
        <v>316</v>
      </c>
      <c r="L28" s="16">
        <f t="shared" si="1"/>
        <v>79</v>
      </c>
      <c r="M28" s="15">
        <f t="shared" si="2"/>
        <v>75</v>
      </c>
      <c r="N28" s="17">
        <f t="shared" si="3"/>
        <v>84</v>
      </c>
    </row>
    <row r="29" spans="1:14" x14ac:dyDescent="0.3">
      <c r="A29" s="5">
        <v>1028</v>
      </c>
      <c r="B29" s="3" t="s">
        <v>33</v>
      </c>
      <c r="C29" s="3" t="s">
        <v>5</v>
      </c>
      <c r="D29" s="3" t="s">
        <v>44</v>
      </c>
      <c r="E29" s="3">
        <v>19</v>
      </c>
      <c r="F29" s="3">
        <v>85</v>
      </c>
      <c r="G29" s="3">
        <v>82</v>
      </c>
      <c r="H29" s="3">
        <v>88</v>
      </c>
      <c r="I29" s="3">
        <v>90</v>
      </c>
      <c r="J29" s="4">
        <v>0.93</v>
      </c>
      <c r="K29" s="15">
        <f t="shared" si="0"/>
        <v>345</v>
      </c>
      <c r="L29" s="16">
        <f t="shared" si="1"/>
        <v>86.25</v>
      </c>
      <c r="M29" s="15">
        <f t="shared" si="2"/>
        <v>82</v>
      </c>
      <c r="N29" s="17">
        <f t="shared" si="3"/>
        <v>90</v>
      </c>
    </row>
    <row r="30" spans="1:14" x14ac:dyDescent="0.3">
      <c r="A30" s="5">
        <v>1029</v>
      </c>
      <c r="B30" s="3" t="s">
        <v>16</v>
      </c>
      <c r="C30" s="3" t="s">
        <v>3</v>
      </c>
      <c r="D30" s="3" t="s">
        <v>43</v>
      </c>
      <c r="E30" s="3">
        <v>22</v>
      </c>
      <c r="F30" s="3">
        <v>66</v>
      </c>
      <c r="G30" s="3">
        <v>73</v>
      </c>
      <c r="H30" s="3">
        <v>69</v>
      </c>
      <c r="I30" s="3">
        <v>74</v>
      </c>
      <c r="J30" s="4">
        <v>0.81</v>
      </c>
      <c r="K30" s="15">
        <f t="shared" si="0"/>
        <v>282</v>
      </c>
      <c r="L30" s="16">
        <f t="shared" si="1"/>
        <v>70.5</v>
      </c>
      <c r="M30" s="15">
        <f t="shared" si="2"/>
        <v>66</v>
      </c>
      <c r="N30" s="17">
        <f t="shared" si="3"/>
        <v>74</v>
      </c>
    </row>
    <row r="31" spans="1:14" ht="15" thickBot="1" x14ac:dyDescent="0.35">
      <c r="A31" s="6">
        <v>1030</v>
      </c>
      <c r="B31" s="7" t="s">
        <v>27</v>
      </c>
      <c r="C31" s="7" t="s">
        <v>5</v>
      </c>
      <c r="D31" s="7" t="s">
        <v>42</v>
      </c>
      <c r="E31" s="7">
        <v>20</v>
      </c>
      <c r="F31" s="7">
        <v>90</v>
      </c>
      <c r="G31" s="7">
        <v>88</v>
      </c>
      <c r="H31" s="7">
        <v>93</v>
      </c>
      <c r="I31" s="7">
        <v>95</v>
      </c>
      <c r="J31" s="18">
        <v>0.97</v>
      </c>
      <c r="K31" s="19">
        <f t="shared" si="0"/>
        <v>366</v>
      </c>
      <c r="L31" s="20">
        <f t="shared" si="1"/>
        <v>91.5</v>
      </c>
      <c r="M31" s="19">
        <f t="shared" si="2"/>
        <v>88</v>
      </c>
      <c r="N31" s="21">
        <f t="shared" si="3"/>
        <v>95</v>
      </c>
    </row>
  </sheetData>
  <pageMargins left="0.7" right="0.7" top="0.75" bottom="0.75" header="0.3" footer="0.3"/>
  <ignoredErrors>
    <ignoredError sqref="K2:K31 L2:L31 M2:M31 N2:N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7639-9232-4E51-A4DC-6BAA400CDDFA}">
  <dimension ref="A1:L31"/>
  <sheetViews>
    <sheetView workbookViewId="0">
      <selection activeCell="L17" sqref="L17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7.109375" bestFit="1" customWidth="1"/>
    <col min="4" max="4" width="6.77734375" bestFit="1" customWidth="1"/>
    <col min="5" max="5" width="4.21875" bestFit="1" customWidth="1"/>
    <col min="6" max="6" width="6.88671875" bestFit="1" customWidth="1"/>
    <col min="7" max="7" width="6.33203125" bestFit="1" customWidth="1"/>
    <col min="8" max="8" width="7.33203125" bestFit="1" customWidth="1"/>
    <col min="9" max="9" width="9.44140625" bestFit="1" customWidth="1"/>
    <col min="12" max="12" width="16.5546875" customWidth="1"/>
  </cols>
  <sheetData>
    <row r="1" spans="1:12" x14ac:dyDescent="0.3">
      <c r="A1" s="9" t="s">
        <v>34</v>
      </c>
      <c r="B1" s="10" t="s">
        <v>35</v>
      </c>
      <c r="C1" s="10" t="s">
        <v>0</v>
      </c>
      <c r="D1" s="10" t="s">
        <v>36</v>
      </c>
      <c r="E1" s="10" t="s">
        <v>1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49</v>
      </c>
      <c r="K1" s="10" t="s">
        <v>50</v>
      </c>
      <c r="L1" s="11" t="s">
        <v>51</v>
      </c>
    </row>
    <row r="2" spans="1:12" x14ac:dyDescent="0.3">
      <c r="A2" s="5">
        <v>1001</v>
      </c>
      <c r="B2" s="3" t="s">
        <v>6</v>
      </c>
      <c r="C2" s="3" t="s">
        <v>3</v>
      </c>
      <c r="D2" s="3" t="s">
        <v>42</v>
      </c>
      <c r="E2" s="3">
        <v>20</v>
      </c>
      <c r="F2" s="3">
        <v>78</v>
      </c>
      <c r="G2" s="3">
        <v>85</v>
      </c>
      <c r="H2" s="3">
        <v>72</v>
      </c>
      <c r="I2" s="3">
        <v>90</v>
      </c>
      <c r="J2" s="15">
        <f>COUNT(F2:I2)</f>
        <v>4</v>
      </c>
      <c r="K2" s="15">
        <f>COUNTA(F2:I2)</f>
        <v>4</v>
      </c>
      <c r="L2" s="17">
        <f>COUNTBLANK(F2:I2)</f>
        <v>0</v>
      </c>
    </row>
    <row r="3" spans="1:12" x14ac:dyDescent="0.3">
      <c r="A3" s="5">
        <v>1002</v>
      </c>
      <c r="B3" s="3" t="s">
        <v>4</v>
      </c>
      <c r="C3" s="3" t="s">
        <v>5</v>
      </c>
      <c r="D3" s="3"/>
      <c r="E3" s="3">
        <v>21</v>
      </c>
      <c r="F3" s="3">
        <v>88</v>
      </c>
      <c r="G3" s="3">
        <v>76</v>
      </c>
      <c r="H3" s="3">
        <v>84</v>
      </c>
      <c r="I3" s="3">
        <v>95</v>
      </c>
      <c r="J3" s="15">
        <f t="shared" ref="J3:J31" si="0">COUNT(F3:I3)</f>
        <v>4</v>
      </c>
      <c r="K3" s="15">
        <f t="shared" ref="K3:K31" si="1">COUNTA(F3:I3)</f>
        <v>4</v>
      </c>
      <c r="L3" s="17">
        <f t="shared" ref="L3:L31" si="2">COUNTBLANK(F3:I3)</f>
        <v>0</v>
      </c>
    </row>
    <row r="4" spans="1:12" x14ac:dyDescent="0.3">
      <c r="A4" s="5">
        <v>1003</v>
      </c>
      <c r="B4" s="3" t="s">
        <v>2</v>
      </c>
      <c r="C4" s="3" t="s">
        <v>3</v>
      </c>
      <c r="D4" s="3" t="s">
        <v>43</v>
      </c>
      <c r="E4" s="3">
        <v>20</v>
      </c>
      <c r="F4" s="3">
        <v>65</v>
      </c>
      <c r="G4" s="3">
        <v>72</v>
      </c>
      <c r="H4" s="3" t="s">
        <v>52</v>
      </c>
      <c r="I4" s="3">
        <v>75</v>
      </c>
      <c r="J4" s="15">
        <f t="shared" si="0"/>
        <v>3</v>
      </c>
      <c r="K4" s="15">
        <f t="shared" si="1"/>
        <v>4</v>
      </c>
      <c r="L4" s="17">
        <f t="shared" si="2"/>
        <v>0</v>
      </c>
    </row>
    <row r="5" spans="1:12" x14ac:dyDescent="0.3">
      <c r="A5" s="5">
        <v>1004</v>
      </c>
      <c r="B5" s="3" t="s">
        <v>7</v>
      </c>
      <c r="C5" s="3" t="s">
        <v>5</v>
      </c>
      <c r="D5" s="3" t="s">
        <v>42</v>
      </c>
      <c r="E5" s="3">
        <v>19</v>
      </c>
      <c r="F5" s="3">
        <v>92</v>
      </c>
      <c r="G5" s="3">
        <v>89</v>
      </c>
      <c r="H5" s="3">
        <v>91</v>
      </c>
      <c r="I5" s="3">
        <v>94</v>
      </c>
      <c r="J5" s="15">
        <f t="shared" si="0"/>
        <v>4</v>
      </c>
      <c r="K5" s="15">
        <f t="shared" si="1"/>
        <v>4</v>
      </c>
      <c r="L5" s="17">
        <f t="shared" si="2"/>
        <v>0</v>
      </c>
    </row>
    <row r="6" spans="1:12" x14ac:dyDescent="0.3">
      <c r="A6" s="5">
        <v>1005</v>
      </c>
      <c r="B6" s="3" t="s">
        <v>10</v>
      </c>
      <c r="C6" s="3" t="s">
        <v>3</v>
      </c>
      <c r="D6" s="3" t="s">
        <v>44</v>
      </c>
      <c r="E6" s="3">
        <v>22</v>
      </c>
      <c r="F6" s="3">
        <v>70</v>
      </c>
      <c r="G6" s="3">
        <v>68</v>
      </c>
      <c r="H6" s="3">
        <v>74</v>
      </c>
      <c r="I6" s="3">
        <v>80</v>
      </c>
      <c r="J6" s="15">
        <f t="shared" si="0"/>
        <v>4</v>
      </c>
      <c r="K6" s="15">
        <f t="shared" si="1"/>
        <v>4</v>
      </c>
      <c r="L6" s="17">
        <f t="shared" si="2"/>
        <v>0</v>
      </c>
    </row>
    <row r="7" spans="1:12" x14ac:dyDescent="0.3">
      <c r="A7" s="5">
        <v>1006</v>
      </c>
      <c r="B7" s="3" t="s">
        <v>9</v>
      </c>
      <c r="C7" s="3" t="s">
        <v>5</v>
      </c>
      <c r="D7" s="3" t="s">
        <v>42</v>
      </c>
      <c r="E7" s="3">
        <v>20</v>
      </c>
      <c r="F7" s="3">
        <v>84</v>
      </c>
      <c r="G7" s="3"/>
      <c r="H7" s="3">
        <v>87</v>
      </c>
      <c r="I7" s="3">
        <v>89</v>
      </c>
      <c r="J7" s="15">
        <f t="shared" si="0"/>
        <v>3</v>
      </c>
      <c r="K7" s="15">
        <f t="shared" si="1"/>
        <v>3</v>
      </c>
      <c r="L7" s="17">
        <f t="shared" si="2"/>
        <v>1</v>
      </c>
    </row>
    <row r="8" spans="1:12" x14ac:dyDescent="0.3">
      <c r="A8" s="5">
        <v>1007</v>
      </c>
      <c r="B8" s="3" t="s">
        <v>12</v>
      </c>
      <c r="C8" s="3" t="s">
        <v>3</v>
      </c>
      <c r="D8" s="3" t="s">
        <v>43</v>
      </c>
      <c r="E8" s="3">
        <v>21</v>
      </c>
      <c r="F8" s="3">
        <v>76</v>
      </c>
      <c r="G8" s="3">
        <v>64</v>
      </c>
      <c r="H8" s="3"/>
      <c r="I8" s="3">
        <v>78</v>
      </c>
      <c r="J8" s="15">
        <f t="shared" si="0"/>
        <v>3</v>
      </c>
      <c r="K8" s="15">
        <f t="shared" si="1"/>
        <v>3</v>
      </c>
      <c r="L8" s="17">
        <f t="shared" si="2"/>
        <v>1</v>
      </c>
    </row>
    <row r="9" spans="1:12" x14ac:dyDescent="0.3">
      <c r="A9" s="5">
        <v>1008</v>
      </c>
      <c r="B9" s="3" t="s">
        <v>11</v>
      </c>
      <c r="C9" s="3" t="s">
        <v>5</v>
      </c>
      <c r="D9" s="3" t="s">
        <v>44</v>
      </c>
      <c r="E9" s="3"/>
      <c r="F9" s="3">
        <v>81</v>
      </c>
      <c r="G9" s="3">
        <v>79</v>
      </c>
      <c r="H9" s="3" t="s">
        <v>52</v>
      </c>
      <c r="I9" s="3">
        <v>88</v>
      </c>
      <c r="J9" s="15">
        <f t="shared" si="0"/>
        <v>3</v>
      </c>
      <c r="K9" s="15">
        <f t="shared" si="1"/>
        <v>4</v>
      </c>
      <c r="L9" s="17">
        <f t="shared" si="2"/>
        <v>0</v>
      </c>
    </row>
    <row r="10" spans="1:12" x14ac:dyDescent="0.3">
      <c r="A10" s="5">
        <v>1009</v>
      </c>
      <c r="B10" s="3" t="s">
        <v>8</v>
      </c>
      <c r="C10" s="3" t="s">
        <v>3</v>
      </c>
      <c r="D10" s="3" t="s">
        <v>42</v>
      </c>
      <c r="E10" s="3">
        <v>19</v>
      </c>
      <c r="F10" s="3">
        <v>90</v>
      </c>
      <c r="G10" s="3">
        <v>94</v>
      </c>
      <c r="H10" s="3">
        <v>88</v>
      </c>
      <c r="I10" s="3">
        <v>96</v>
      </c>
      <c r="J10" s="15">
        <f t="shared" si="0"/>
        <v>4</v>
      </c>
      <c r="K10" s="15">
        <f t="shared" si="1"/>
        <v>4</v>
      </c>
      <c r="L10" s="17">
        <f t="shared" si="2"/>
        <v>0</v>
      </c>
    </row>
    <row r="11" spans="1:12" x14ac:dyDescent="0.3">
      <c r="A11" s="5">
        <v>1010</v>
      </c>
      <c r="B11" s="3" t="s">
        <v>13</v>
      </c>
      <c r="C11" s="3" t="s">
        <v>5</v>
      </c>
      <c r="D11" s="3" t="s">
        <v>43</v>
      </c>
      <c r="E11" s="3">
        <v>22</v>
      </c>
      <c r="F11" s="3">
        <v>73</v>
      </c>
      <c r="G11" s="3">
        <v>81</v>
      </c>
      <c r="H11" s="3">
        <v>76</v>
      </c>
      <c r="I11" s="3">
        <v>84</v>
      </c>
      <c r="J11" s="15">
        <f t="shared" si="0"/>
        <v>4</v>
      </c>
      <c r="K11" s="15">
        <f t="shared" si="1"/>
        <v>4</v>
      </c>
      <c r="L11" s="17">
        <f t="shared" si="2"/>
        <v>0</v>
      </c>
    </row>
    <row r="12" spans="1:12" x14ac:dyDescent="0.3">
      <c r="A12" s="5">
        <v>1011</v>
      </c>
      <c r="B12" s="3" t="s">
        <v>14</v>
      </c>
      <c r="C12" s="3" t="s">
        <v>3</v>
      </c>
      <c r="D12" s="3"/>
      <c r="E12" s="3">
        <v>21</v>
      </c>
      <c r="F12" s="3">
        <v>68</v>
      </c>
      <c r="G12" s="3">
        <v>75</v>
      </c>
      <c r="H12" s="3">
        <v>71</v>
      </c>
      <c r="I12" s="3">
        <v>73</v>
      </c>
      <c r="J12" s="15">
        <f t="shared" si="0"/>
        <v>4</v>
      </c>
      <c r="K12" s="15">
        <f t="shared" si="1"/>
        <v>4</v>
      </c>
      <c r="L12" s="17">
        <f t="shared" si="2"/>
        <v>0</v>
      </c>
    </row>
    <row r="13" spans="1:12" x14ac:dyDescent="0.3">
      <c r="A13" s="5">
        <v>1012</v>
      </c>
      <c r="B13" s="3" t="s">
        <v>15</v>
      </c>
      <c r="C13" s="3" t="s">
        <v>5</v>
      </c>
      <c r="D13" s="3" t="s">
        <v>42</v>
      </c>
      <c r="E13" s="3">
        <v>20</v>
      </c>
      <c r="F13" s="3">
        <v>95</v>
      </c>
      <c r="G13" s="3">
        <v>92</v>
      </c>
      <c r="H13" s="3">
        <v>94</v>
      </c>
      <c r="I13" s="3"/>
      <c r="J13" s="15">
        <f t="shared" si="0"/>
        <v>3</v>
      </c>
      <c r="K13" s="15">
        <f t="shared" si="1"/>
        <v>3</v>
      </c>
      <c r="L13" s="17">
        <f t="shared" si="2"/>
        <v>1</v>
      </c>
    </row>
    <row r="14" spans="1:12" x14ac:dyDescent="0.3">
      <c r="A14" s="5">
        <v>1013</v>
      </c>
      <c r="B14" s="3" t="s">
        <v>26</v>
      </c>
      <c r="C14" s="3" t="s">
        <v>3</v>
      </c>
      <c r="D14" s="3" t="s">
        <v>43</v>
      </c>
      <c r="E14" s="3">
        <v>23</v>
      </c>
      <c r="F14" s="3">
        <v>72</v>
      </c>
      <c r="G14" s="3">
        <v>69</v>
      </c>
      <c r="H14" s="3" t="s">
        <v>52</v>
      </c>
      <c r="I14" s="3">
        <v>70</v>
      </c>
      <c r="J14" s="15">
        <f t="shared" si="0"/>
        <v>3</v>
      </c>
      <c r="K14" s="15">
        <f t="shared" si="1"/>
        <v>4</v>
      </c>
      <c r="L14" s="17">
        <f t="shared" si="2"/>
        <v>0</v>
      </c>
    </row>
    <row r="15" spans="1:12" x14ac:dyDescent="0.3">
      <c r="A15" s="5">
        <v>1014</v>
      </c>
      <c r="B15" s="3" t="s">
        <v>17</v>
      </c>
      <c r="C15" s="3" t="s">
        <v>5</v>
      </c>
      <c r="D15" s="3" t="s">
        <v>42</v>
      </c>
      <c r="E15" s="3">
        <v>19</v>
      </c>
      <c r="F15" s="3">
        <v>86</v>
      </c>
      <c r="G15" s="3">
        <v>88</v>
      </c>
      <c r="H15" s="3">
        <v>82</v>
      </c>
      <c r="I15" s="3">
        <v>91</v>
      </c>
      <c r="J15" s="15">
        <f t="shared" si="0"/>
        <v>4</v>
      </c>
      <c r="K15" s="15">
        <f t="shared" si="1"/>
        <v>4</v>
      </c>
      <c r="L15" s="17">
        <f t="shared" si="2"/>
        <v>0</v>
      </c>
    </row>
    <row r="16" spans="1:12" x14ac:dyDescent="0.3">
      <c r="A16" s="5">
        <v>1015</v>
      </c>
      <c r="B16" s="3" t="s">
        <v>18</v>
      </c>
      <c r="C16" s="3" t="s">
        <v>3</v>
      </c>
      <c r="D16" s="3" t="s">
        <v>44</v>
      </c>
      <c r="E16" s="3">
        <v>21</v>
      </c>
      <c r="F16" s="3">
        <v>79</v>
      </c>
      <c r="G16" s="3">
        <v>83</v>
      </c>
      <c r="H16" s="3">
        <v>77</v>
      </c>
      <c r="I16" s="3">
        <v>85</v>
      </c>
      <c r="J16" s="15">
        <f t="shared" si="0"/>
        <v>4</v>
      </c>
      <c r="K16" s="15">
        <f t="shared" si="1"/>
        <v>4</v>
      </c>
      <c r="L16" s="17">
        <f t="shared" si="2"/>
        <v>0</v>
      </c>
    </row>
    <row r="17" spans="1:12" x14ac:dyDescent="0.3">
      <c r="A17" s="5">
        <v>1016</v>
      </c>
      <c r="B17" s="3" t="s">
        <v>19</v>
      </c>
      <c r="C17" s="3" t="s">
        <v>5</v>
      </c>
      <c r="D17" s="3" t="s">
        <v>43</v>
      </c>
      <c r="E17" s="3">
        <v>20</v>
      </c>
      <c r="F17" s="3">
        <v>91</v>
      </c>
      <c r="G17" s="3">
        <v>87</v>
      </c>
      <c r="H17" s="3">
        <v>90</v>
      </c>
      <c r="I17" s="3">
        <v>92</v>
      </c>
      <c r="J17" s="15">
        <f t="shared" si="0"/>
        <v>4</v>
      </c>
      <c r="K17" s="15">
        <f t="shared" si="1"/>
        <v>4</v>
      </c>
      <c r="L17" s="17">
        <f t="shared" si="2"/>
        <v>0</v>
      </c>
    </row>
    <row r="18" spans="1:12" x14ac:dyDescent="0.3">
      <c r="A18" s="5">
        <v>1017</v>
      </c>
      <c r="B18" s="3" t="s">
        <v>20</v>
      </c>
      <c r="C18" s="3" t="s">
        <v>3</v>
      </c>
      <c r="D18" s="3"/>
      <c r="E18" s="3">
        <v>22</v>
      </c>
      <c r="F18" s="3">
        <v>67</v>
      </c>
      <c r="G18" s="3">
        <v>74</v>
      </c>
      <c r="H18" s="3">
        <v>69</v>
      </c>
      <c r="I18" s="3">
        <v>77</v>
      </c>
      <c r="J18" s="15">
        <f t="shared" si="0"/>
        <v>4</v>
      </c>
      <c r="K18" s="15">
        <f t="shared" si="1"/>
        <v>4</v>
      </c>
      <c r="L18" s="17">
        <f t="shared" si="2"/>
        <v>0</v>
      </c>
    </row>
    <row r="19" spans="1:12" x14ac:dyDescent="0.3">
      <c r="A19" s="5">
        <v>1018</v>
      </c>
      <c r="B19" s="3" t="s">
        <v>21</v>
      </c>
      <c r="C19" s="3" t="s">
        <v>5</v>
      </c>
      <c r="D19" s="3" t="s">
        <v>44</v>
      </c>
      <c r="E19" s="3">
        <v>19</v>
      </c>
      <c r="F19" s="3">
        <v>83</v>
      </c>
      <c r="G19" s="3">
        <v>78</v>
      </c>
      <c r="H19" s="3">
        <v>81</v>
      </c>
      <c r="I19" s="3" t="s">
        <v>52</v>
      </c>
      <c r="J19" s="15">
        <f t="shared" si="0"/>
        <v>3</v>
      </c>
      <c r="K19" s="15">
        <f t="shared" si="1"/>
        <v>4</v>
      </c>
      <c r="L19" s="17">
        <f t="shared" si="2"/>
        <v>0</v>
      </c>
    </row>
    <row r="20" spans="1:12" x14ac:dyDescent="0.3">
      <c r="A20" s="5">
        <v>1019</v>
      </c>
      <c r="B20" s="3" t="s">
        <v>22</v>
      </c>
      <c r="C20" s="3" t="s">
        <v>3</v>
      </c>
      <c r="D20" s="3" t="s">
        <v>42</v>
      </c>
      <c r="E20" s="3">
        <v>20</v>
      </c>
      <c r="F20" s="3" t="s">
        <v>52</v>
      </c>
      <c r="G20" s="3">
        <v>96</v>
      </c>
      <c r="H20" s="3">
        <v>92</v>
      </c>
      <c r="I20" s="3">
        <v>94</v>
      </c>
      <c r="J20" s="15">
        <f t="shared" si="0"/>
        <v>3</v>
      </c>
      <c r="K20" s="15">
        <f t="shared" si="1"/>
        <v>4</v>
      </c>
      <c r="L20" s="17">
        <f t="shared" si="2"/>
        <v>0</v>
      </c>
    </row>
    <row r="21" spans="1:12" x14ac:dyDescent="0.3">
      <c r="A21" s="5">
        <v>1020</v>
      </c>
      <c r="B21" s="3" t="s">
        <v>23</v>
      </c>
      <c r="C21" s="3" t="s">
        <v>5</v>
      </c>
      <c r="D21" s="3" t="s">
        <v>43</v>
      </c>
      <c r="E21" s="3">
        <v>21</v>
      </c>
      <c r="F21" s="3">
        <v>75</v>
      </c>
      <c r="G21" s="3">
        <v>82</v>
      </c>
      <c r="H21" s="3">
        <v>79</v>
      </c>
      <c r="I21" s="3" t="s">
        <v>52</v>
      </c>
      <c r="J21" s="15">
        <f t="shared" si="0"/>
        <v>3</v>
      </c>
      <c r="K21" s="15">
        <f t="shared" si="1"/>
        <v>4</v>
      </c>
      <c r="L21" s="17">
        <f t="shared" si="2"/>
        <v>0</v>
      </c>
    </row>
    <row r="22" spans="1:12" x14ac:dyDescent="0.3">
      <c r="A22" s="5">
        <v>1021</v>
      </c>
      <c r="B22" s="3" t="s">
        <v>24</v>
      </c>
      <c r="C22" s="3" t="s">
        <v>3</v>
      </c>
      <c r="D22" s="3"/>
      <c r="E22" s="3">
        <v>22</v>
      </c>
      <c r="F22" s="3">
        <v>64</v>
      </c>
      <c r="G22" s="3">
        <v>71</v>
      </c>
      <c r="H22" s="3">
        <v>67</v>
      </c>
      <c r="I22" s="3">
        <v>72</v>
      </c>
      <c r="J22" s="15">
        <f t="shared" si="0"/>
        <v>4</v>
      </c>
      <c r="K22" s="15">
        <f t="shared" si="1"/>
        <v>4</v>
      </c>
      <c r="L22" s="17">
        <f t="shared" si="2"/>
        <v>0</v>
      </c>
    </row>
    <row r="23" spans="1:12" x14ac:dyDescent="0.3">
      <c r="A23" s="5">
        <v>1022</v>
      </c>
      <c r="B23" s="3" t="s">
        <v>25</v>
      </c>
      <c r="C23" s="3" t="s">
        <v>5</v>
      </c>
      <c r="D23" s="3" t="s">
        <v>42</v>
      </c>
      <c r="E23" s="3">
        <v>20</v>
      </c>
      <c r="F23" s="3" t="s">
        <v>52</v>
      </c>
      <c r="G23" s="3">
        <v>90</v>
      </c>
      <c r="H23" s="3">
        <v>86</v>
      </c>
      <c r="I23" s="3">
        <v>93</v>
      </c>
      <c r="J23" s="15">
        <f t="shared" si="0"/>
        <v>3</v>
      </c>
      <c r="K23" s="15">
        <f t="shared" si="1"/>
        <v>4</v>
      </c>
      <c r="L23" s="17">
        <f t="shared" si="2"/>
        <v>0</v>
      </c>
    </row>
    <row r="24" spans="1:12" x14ac:dyDescent="0.3">
      <c r="A24" s="5">
        <v>1023</v>
      </c>
      <c r="B24" s="3" t="s">
        <v>28</v>
      </c>
      <c r="C24" s="3" t="s">
        <v>3</v>
      </c>
      <c r="D24" s="3" t="s">
        <v>43</v>
      </c>
      <c r="E24" s="3">
        <v>19</v>
      </c>
      <c r="F24" s="3">
        <v>71</v>
      </c>
      <c r="G24" s="3">
        <v>66</v>
      </c>
      <c r="H24" s="3">
        <v>73</v>
      </c>
      <c r="I24" s="3">
        <v>76</v>
      </c>
      <c r="J24" s="15">
        <f t="shared" si="0"/>
        <v>4</v>
      </c>
      <c r="K24" s="15">
        <f t="shared" si="1"/>
        <v>4</v>
      </c>
      <c r="L24" s="17">
        <f t="shared" si="2"/>
        <v>0</v>
      </c>
    </row>
    <row r="25" spans="1:12" x14ac:dyDescent="0.3">
      <c r="A25" s="5">
        <v>1024</v>
      </c>
      <c r="B25" s="3" t="s">
        <v>29</v>
      </c>
      <c r="C25" s="3" t="s">
        <v>5</v>
      </c>
      <c r="D25" s="3" t="s">
        <v>42</v>
      </c>
      <c r="E25" s="3">
        <v>21</v>
      </c>
      <c r="F25" s="3">
        <v>93</v>
      </c>
      <c r="G25" s="3">
        <v>95</v>
      </c>
      <c r="H25" s="3"/>
      <c r="I25" s="3">
        <v>98</v>
      </c>
      <c r="J25" s="15">
        <f t="shared" si="0"/>
        <v>3</v>
      </c>
      <c r="K25" s="15">
        <f t="shared" si="1"/>
        <v>3</v>
      </c>
      <c r="L25" s="17">
        <f t="shared" si="2"/>
        <v>1</v>
      </c>
    </row>
    <row r="26" spans="1:12" x14ac:dyDescent="0.3">
      <c r="A26" s="5">
        <v>1025</v>
      </c>
      <c r="B26" s="3" t="s">
        <v>30</v>
      </c>
      <c r="C26" s="3" t="s">
        <v>3</v>
      </c>
      <c r="D26" s="3" t="s">
        <v>44</v>
      </c>
      <c r="E26" s="3">
        <v>23</v>
      </c>
      <c r="F26" s="3" t="s">
        <v>52</v>
      </c>
      <c r="G26" s="3">
        <v>77</v>
      </c>
      <c r="H26" s="3">
        <v>70</v>
      </c>
      <c r="I26" s="3">
        <v>81</v>
      </c>
      <c r="J26" s="15">
        <f t="shared" si="0"/>
        <v>3</v>
      </c>
      <c r="K26" s="15">
        <f t="shared" si="1"/>
        <v>4</v>
      </c>
      <c r="L26" s="17">
        <f t="shared" si="2"/>
        <v>0</v>
      </c>
    </row>
    <row r="27" spans="1:12" x14ac:dyDescent="0.3">
      <c r="A27" s="5">
        <v>1026</v>
      </c>
      <c r="B27" s="3" t="s">
        <v>31</v>
      </c>
      <c r="C27" s="3" t="s">
        <v>5</v>
      </c>
      <c r="D27" s="3"/>
      <c r="E27" s="3">
        <v>20</v>
      </c>
      <c r="F27" s="3">
        <v>80</v>
      </c>
      <c r="G27" s="3">
        <v>85</v>
      </c>
      <c r="H27" s="3">
        <v>83</v>
      </c>
      <c r="I27" s="3">
        <v>88</v>
      </c>
      <c r="J27" s="15">
        <f t="shared" si="0"/>
        <v>4</v>
      </c>
      <c r="K27" s="15">
        <f t="shared" si="1"/>
        <v>4</v>
      </c>
      <c r="L27" s="17">
        <f t="shared" si="2"/>
        <v>0</v>
      </c>
    </row>
    <row r="28" spans="1:12" x14ac:dyDescent="0.3">
      <c r="A28" s="5">
        <v>1027</v>
      </c>
      <c r="B28" s="3" t="s">
        <v>32</v>
      </c>
      <c r="C28" s="3" t="s">
        <v>3</v>
      </c>
      <c r="D28" s="3" t="s">
        <v>42</v>
      </c>
      <c r="E28" s="3">
        <v>21</v>
      </c>
      <c r="F28" s="3">
        <v>77</v>
      </c>
      <c r="G28" s="3">
        <v>80</v>
      </c>
      <c r="H28" s="3">
        <v>75</v>
      </c>
      <c r="I28" s="3">
        <v>84</v>
      </c>
      <c r="J28" s="15">
        <f t="shared" si="0"/>
        <v>4</v>
      </c>
      <c r="K28" s="15">
        <f t="shared" si="1"/>
        <v>4</v>
      </c>
      <c r="L28" s="17">
        <f t="shared" si="2"/>
        <v>0</v>
      </c>
    </row>
    <row r="29" spans="1:12" x14ac:dyDescent="0.3">
      <c r="A29" s="5">
        <v>1028</v>
      </c>
      <c r="B29" s="3" t="s">
        <v>33</v>
      </c>
      <c r="C29" s="3" t="s">
        <v>5</v>
      </c>
      <c r="D29" s="3" t="s">
        <v>44</v>
      </c>
      <c r="E29" s="3">
        <v>19</v>
      </c>
      <c r="F29" s="3">
        <v>85</v>
      </c>
      <c r="G29" s="3">
        <v>82</v>
      </c>
      <c r="H29" s="3"/>
      <c r="I29" s="3">
        <v>90</v>
      </c>
      <c r="J29" s="15">
        <f t="shared" si="0"/>
        <v>3</v>
      </c>
      <c r="K29" s="15">
        <f t="shared" si="1"/>
        <v>3</v>
      </c>
      <c r="L29" s="17">
        <f t="shared" si="2"/>
        <v>1</v>
      </c>
    </row>
    <row r="30" spans="1:12" x14ac:dyDescent="0.3">
      <c r="A30" s="5">
        <v>1029</v>
      </c>
      <c r="B30" s="3" t="s">
        <v>16</v>
      </c>
      <c r="C30" s="3" t="s">
        <v>3</v>
      </c>
      <c r="D30" s="3" t="s">
        <v>43</v>
      </c>
      <c r="E30" s="3">
        <v>22</v>
      </c>
      <c r="F30" s="3">
        <v>66</v>
      </c>
      <c r="G30" s="3">
        <v>73</v>
      </c>
      <c r="H30" s="3">
        <v>69</v>
      </c>
      <c r="I30" s="3">
        <v>74</v>
      </c>
      <c r="J30" s="15">
        <f t="shared" si="0"/>
        <v>4</v>
      </c>
      <c r="K30" s="15">
        <f t="shared" si="1"/>
        <v>4</v>
      </c>
      <c r="L30" s="17">
        <f t="shared" si="2"/>
        <v>0</v>
      </c>
    </row>
    <row r="31" spans="1:12" ht="15" thickBot="1" x14ac:dyDescent="0.35">
      <c r="A31" s="6">
        <v>1030</v>
      </c>
      <c r="B31" s="7" t="s">
        <v>27</v>
      </c>
      <c r="C31" s="7" t="s">
        <v>5</v>
      </c>
      <c r="D31" s="7" t="s">
        <v>42</v>
      </c>
      <c r="E31" s="7">
        <v>20</v>
      </c>
      <c r="F31" s="7">
        <v>90</v>
      </c>
      <c r="G31" s="7">
        <v>88</v>
      </c>
      <c r="H31" s="7">
        <v>93</v>
      </c>
      <c r="I31" s="7">
        <v>95</v>
      </c>
      <c r="J31" s="15">
        <f t="shared" si="0"/>
        <v>4</v>
      </c>
      <c r="K31" s="15">
        <f t="shared" si="1"/>
        <v>4</v>
      </c>
      <c r="L31" s="17">
        <f t="shared" si="2"/>
        <v>0</v>
      </c>
    </row>
  </sheetData>
  <pageMargins left="0.7" right="0.7" top="0.75" bottom="0.75" header="0.3" footer="0.3"/>
  <ignoredErrors>
    <ignoredError sqref="J2:J31 L2:L31 K2:K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7CBC-2335-4C8D-BE16-3AEF73E5446F}">
  <dimension ref="A1:M31"/>
  <sheetViews>
    <sheetView topLeftCell="A5" workbookViewId="0">
      <selection activeCell="O19" sqref="O19"/>
    </sheetView>
  </sheetViews>
  <sheetFormatPr defaultRowHeight="14.4" x14ac:dyDescent="0.3"/>
  <cols>
    <col min="1" max="1" width="9.44140625" bestFit="1" customWidth="1"/>
    <col min="2" max="2" width="15.5546875" bestFit="1" customWidth="1"/>
    <col min="3" max="3" width="11.109375" bestFit="1" customWidth="1"/>
    <col min="4" max="4" width="8.21875" bestFit="1" customWidth="1"/>
    <col min="5" max="5" width="11" bestFit="1" customWidth="1"/>
    <col min="6" max="6" width="4.77734375" bestFit="1" customWidth="1"/>
    <col min="7" max="7" width="4.5546875" bestFit="1" customWidth="1"/>
    <col min="8" max="8" width="6.109375" bestFit="1" customWidth="1"/>
    <col min="9" max="9" width="4.21875" bestFit="1" customWidth="1"/>
    <col min="10" max="10" width="14.33203125" bestFit="1" customWidth="1"/>
    <col min="11" max="11" width="15.109375" bestFit="1" customWidth="1"/>
    <col min="12" max="12" width="12.5546875" bestFit="1" customWidth="1"/>
    <col min="13" max="13" width="12.88671875" bestFit="1" customWidth="1"/>
  </cols>
  <sheetData>
    <row r="1" spans="1:13" x14ac:dyDescent="0.3">
      <c r="A1" s="28" t="s">
        <v>34</v>
      </c>
      <c r="B1" s="26" t="s">
        <v>35</v>
      </c>
      <c r="C1" s="26" t="s">
        <v>53</v>
      </c>
      <c r="D1" s="26" t="s">
        <v>54</v>
      </c>
      <c r="E1" s="26" t="s">
        <v>55</v>
      </c>
      <c r="F1" s="26" t="s">
        <v>92</v>
      </c>
      <c r="G1" s="26" t="s">
        <v>91</v>
      </c>
      <c r="H1" s="26" t="s">
        <v>93</v>
      </c>
      <c r="I1" s="26" t="s">
        <v>94</v>
      </c>
      <c r="J1" s="26" t="s">
        <v>95</v>
      </c>
      <c r="K1" s="26" t="s">
        <v>99</v>
      </c>
      <c r="L1" s="26" t="s">
        <v>100</v>
      </c>
      <c r="M1" s="27" t="s">
        <v>101</v>
      </c>
    </row>
    <row r="2" spans="1:13" x14ac:dyDescent="0.3">
      <c r="A2" s="12">
        <v>1001</v>
      </c>
      <c r="B2" s="8" t="s">
        <v>56</v>
      </c>
      <c r="C2" s="8" t="s">
        <v>57</v>
      </c>
      <c r="D2" s="8" t="s">
        <v>58</v>
      </c>
      <c r="E2" s="8">
        <v>9876543210</v>
      </c>
      <c r="F2" s="22" t="str">
        <f>LEFT(A2,2)</f>
        <v>10</v>
      </c>
      <c r="G2" s="22" t="str">
        <f>MID(C2,1,3)</f>
        <v>BCA</v>
      </c>
      <c r="H2" s="22" t="str">
        <f>RIGHT(C2,4)</f>
        <v>2026</v>
      </c>
      <c r="I2" s="22">
        <f>LEN(E2)</f>
        <v>10</v>
      </c>
      <c r="J2" s="22" t="str">
        <f>TRIM(B2)</f>
        <v>rahul sharma</v>
      </c>
      <c r="K2" s="22" t="str">
        <f>UPPER(J2)</f>
        <v>RAHUL SHARMA</v>
      </c>
      <c r="L2" s="22" t="str">
        <f>LOWER(J2)</f>
        <v>rahul sharma</v>
      </c>
      <c r="M2" s="23" t="str">
        <f>PROPER(J2)</f>
        <v>Rahul Sharma</v>
      </c>
    </row>
    <row r="3" spans="1:13" x14ac:dyDescent="0.3">
      <c r="A3" s="12">
        <v>1002</v>
      </c>
      <c r="B3" s="8" t="s">
        <v>59</v>
      </c>
      <c r="C3" s="8" t="s">
        <v>60</v>
      </c>
      <c r="D3" s="8" t="s">
        <v>61</v>
      </c>
      <c r="E3" s="8">
        <v>9876512340</v>
      </c>
      <c r="F3" s="22" t="str">
        <f t="shared" ref="F3:F31" si="0">LEFT(A3,2)</f>
        <v>10</v>
      </c>
      <c r="G3" s="22" t="str">
        <f t="shared" ref="G3:G31" si="1">MID(C3,1,3)</f>
        <v>BBA</v>
      </c>
      <c r="H3" s="22" t="str">
        <f t="shared" ref="H3:H31" si="2">RIGHT(C3,4)</f>
        <v>2026</v>
      </c>
      <c r="I3" s="22">
        <f t="shared" ref="I3:I31" si="3">LEN(E3)</f>
        <v>10</v>
      </c>
      <c r="J3" s="22" t="str">
        <f t="shared" ref="J3:J31" si="4">TRIM(B3)</f>
        <v>PRIYA SINGH</v>
      </c>
      <c r="K3" s="22" t="str">
        <f t="shared" ref="K3:K31" si="5">UPPER(J3)</f>
        <v>PRIYA SINGH</v>
      </c>
      <c r="L3" s="22" t="str">
        <f t="shared" ref="L3:L31" si="6">LOWER(J3)</f>
        <v>priya singh</v>
      </c>
      <c r="M3" s="23" t="str">
        <f t="shared" ref="M3:M31" si="7">PROPER(J3)</f>
        <v>Priya Singh</v>
      </c>
    </row>
    <row r="4" spans="1:13" x14ac:dyDescent="0.3">
      <c r="A4" s="12">
        <v>1003</v>
      </c>
      <c r="B4" s="8" t="s">
        <v>62</v>
      </c>
      <c r="C4" s="8" t="s">
        <v>63</v>
      </c>
      <c r="D4" s="8" t="s">
        <v>64</v>
      </c>
      <c r="E4" s="8">
        <v>9123456780</v>
      </c>
      <c r="F4" s="22" t="str">
        <f t="shared" si="0"/>
        <v>10</v>
      </c>
      <c r="G4" s="22" t="str">
        <f t="shared" si="1"/>
        <v>BCO</v>
      </c>
      <c r="H4" s="22" t="str">
        <f t="shared" si="2"/>
        <v>2026</v>
      </c>
      <c r="I4" s="22">
        <f t="shared" si="3"/>
        <v>10</v>
      </c>
      <c r="J4" s="22" t="str">
        <f t="shared" si="4"/>
        <v>amit kumar</v>
      </c>
      <c r="K4" s="22" t="str">
        <f t="shared" si="5"/>
        <v>AMIT KUMAR</v>
      </c>
      <c r="L4" s="22" t="str">
        <f t="shared" si="6"/>
        <v>amit kumar</v>
      </c>
      <c r="M4" s="23" t="str">
        <f t="shared" si="7"/>
        <v>Amit Kumar</v>
      </c>
    </row>
    <row r="5" spans="1:13" x14ac:dyDescent="0.3">
      <c r="A5" s="12">
        <v>1004</v>
      </c>
      <c r="B5" s="8" t="s">
        <v>96</v>
      </c>
      <c r="C5" s="8" t="s">
        <v>57</v>
      </c>
      <c r="D5" s="8" t="s">
        <v>58</v>
      </c>
      <c r="E5" s="8">
        <v>9988776655</v>
      </c>
      <c r="F5" s="22" t="str">
        <f t="shared" si="0"/>
        <v>10</v>
      </c>
      <c r="G5" s="22" t="str">
        <f t="shared" si="1"/>
        <v>BCA</v>
      </c>
      <c r="H5" s="22" t="str">
        <f t="shared" si="2"/>
        <v>2026</v>
      </c>
      <c r="I5" s="22">
        <f t="shared" si="3"/>
        <v>10</v>
      </c>
      <c r="J5" s="22" t="str">
        <f t="shared" si="4"/>
        <v>Neha Verma</v>
      </c>
      <c r="K5" s="22" t="str">
        <f t="shared" si="5"/>
        <v>NEHA VERMA</v>
      </c>
      <c r="L5" s="22" t="str">
        <f t="shared" si="6"/>
        <v>neha verma</v>
      </c>
      <c r="M5" s="23" t="str">
        <f t="shared" si="7"/>
        <v>Neha Verma</v>
      </c>
    </row>
    <row r="6" spans="1:13" x14ac:dyDescent="0.3">
      <c r="A6" s="12">
        <v>1005</v>
      </c>
      <c r="B6" s="8" t="s">
        <v>65</v>
      </c>
      <c r="C6" s="8" t="s">
        <v>60</v>
      </c>
      <c r="D6" s="8" t="s">
        <v>66</v>
      </c>
      <c r="E6" s="8">
        <v>9871234567</v>
      </c>
      <c r="F6" s="22" t="str">
        <f t="shared" si="0"/>
        <v>10</v>
      </c>
      <c r="G6" s="22" t="str">
        <f t="shared" si="1"/>
        <v>BBA</v>
      </c>
      <c r="H6" s="22" t="str">
        <f t="shared" si="2"/>
        <v>2026</v>
      </c>
      <c r="I6" s="22">
        <f t="shared" si="3"/>
        <v>10</v>
      </c>
      <c r="J6" s="22" t="str">
        <f t="shared" si="4"/>
        <v>rohit singh</v>
      </c>
      <c r="K6" s="22" t="str">
        <f t="shared" si="5"/>
        <v>ROHIT SINGH</v>
      </c>
      <c r="L6" s="22" t="str">
        <f t="shared" si="6"/>
        <v>rohit singh</v>
      </c>
      <c r="M6" s="23" t="str">
        <f t="shared" si="7"/>
        <v>Rohit Singh</v>
      </c>
    </row>
    <row r="7" spans="1:13" x14ac:dyDescent="0.3">
      <c r="A7" s="12">
        <v>1006</v>
      </c>
      <c r="B7" s="8" t="s">
        <v>67</v>
      </c>
      <c r="C7" s="8" t="s">
        <v>57</v>
      </c>
      <c r="D7" s="8" t="s">
        <v>61</v>
      </c>
      <c r="E7" s="8">
        <v>9123456789</v>
      </c>
      <c r="F7" s="22" t="str">
        <f t="shared" si="0"/>
        <v>10</v>
      </c>
      <c r="G7" s="22" t="str">
        <f t="shared" si="1"/>
        <v>BCA</v>
      </c>
      <c r="H7" s="22" t="str">
        <f t="shared" si="2"/>
        <v>2026</v>
      </c>
      <c r="I7" s="22">
        <f t="shared" si="3"/>
        <v>10</v>
      </c>
      <c r="J7" s="22" t="str">
        <f t="shared" si="4"/>
        <v>SNEHA GUPTA</v>
      </c>
      <c r="K7" s="22" t="str">
        <f t="shared" si="5"/>
        <v>SNEHA GUPTA</v>
      </c>
      <c r="L7" s="22" t="str">
        <f t="shared" si="6"/>
        <v>sneha gupta</v>
      </c>
      <c r="M7" s="23" t="str">
        <f t="shared" si="7"/>
        <v>Sneha Gupta</v>
      </c>
    </row>
    <row r="8" spans="1:13" x14ac:dyDescent="0.3">
      <c r="A8" s="12">
        <v>1007</v>
      </c>
      <c r="B8" s="8" t="s">
        <v>68</v>
      </c>
      <c r="C8" s="8" t="s">
        <v>63</v>
      </c>
      <c r="D8" s="8" t="s">
        <v>69</v>
      </c>
      <c r="E8" s="8">
        <v>9988123456</v>
      </c>
      <c r="F8" s="22" t="str">
        <f t="shared" si="0"/>
        <v>10</v>
      </c>
      <c r="G8" s="22" t="str">
        <f t="shared" si="1"/>
        <v>BCO</v>
      </c>
      <c r="H8" s="22" t="str">
        <f t="shared" si="2"/>
        <v>2026</v>
      </c>
      <c r="I8" s="22">
        <f t="shared" si="3"/>
        <v>10</v>
      </c>
      <c r="J8" s="22" t="str">
        <f t="shared" si="4"/>
        <v>karan mehta</v>
      </c>
      <c r="K8" s="22" t="str">
        <f t="shared" si="5"/>
        <v>KARAN MEHTA</v>
      </c>
      <c r="L8" s="22" t="str">
        <f t="shared" si="6"/>
        <v>karan mehta</v>
      </c>
      <c r="M8" s="23" t="str">
        <f t="shared" si="7"/>
        <v>Karan Mehta</v>
      </c>
    </row>
    <row r="9" spans="1:13" x14ac:dyDescent="0.3">
      <c r="A9" s="12">
        <v>1008</v>
      </c>
      <c r="B9" s="8" t="s">
        <v>70</v>
      </c>
      <c r="C9" s="8" t="s">
        <v>57</v>
      </c>
      <c r="D9" s="8" t="s">
        <v>58</v>
      </c>
      <c r="E9" s="8">
        <v>9876541230</v>
      </c>
      <c r="F9" s="22" t="str">
        <f t="shared" si="0"/>
        <v>10</v>
      </c>
      <c r="G9" s="22" t="str">
        <f t="shared" si="1"/>
        <v>BCA</v>
      </c>
      <c r="H9" s="22" t="str">
        <f t="shared" si="2"/>
        <v>2026</v>
      </c>
      <c r="I9" s="22">
        <f t="shared" si="3"/>
        <v>10</v>
      </c>
      <c r="J9" s="22" t="str">
        <f t="shared" si="4"/>
        <v>Pooja Sharma</v>
      </c>
      <c r="K9" s="22" t="str">
        <f t="shared" si="5"/>
        <v>POOJA SHARMA</v>
      </c>
      <c r="L9" s="22" t="str">
        <f t="shared" si="6"/>
        <v>pooja sharma</v>
      </c>
      <c r="M9" s="23" t="str">
        <f t="shared" si="7"/>
        <v>Pooja Sharma</v>
      </c>
    </row>
    <row r="10" spans="1:13" x14ac:dyDescent="0.3">
      <c r="A10" s="12">
        <v>1009</v>
      </c>
      <c r="B10" s="8" t="s">
        <v>71</v>
      </c>
      <c r="C10" s="8" t="s">
        <v>60</v>
      </c>
      <c r="D10" s="8" t="s">
        <v>66</v>
      </c>
      <c r="E10" s="8">
        <v>9123987654</v>
      </c>
      <c r="F10" s="22" t="str">
        <f t="shared" si="0"/>
        <v>10</v>
      </c>
      <c r="G10" s="22" t="str">
        <f t="shared" si="1"/>
        <v>BBA</v>
      </c>
      <c r="H10" s="22" t="str">
        <f t="shared" si="2"/>
        <v>2026</v>
      </c>
      <c r="I10" s="22">
        <f t="shared" si="3"/>
        <v>10</v>
      </c>
      <c r="J10" s="22" t="str">
        <f t="shared" si="4"/>
        <v>ARJUN VERMA</v>
      </c>
      <c r="K10" s="22" t="str">
        <f t="shared" si="5"/>
        <v>ARJUN VERMA</v>
      </c>
      <c r="L10" s="22" t="str">
        <f t="shared" si="6"/>
        <v>arjun verma</v>
      </c>
      <c r="M10" s="23" t="str">
        <f t="shared" si="7"/>
        <v>Arjun Verma</v>
      </c>
    </row>
    <row r="11" spans="1:13" x14ac:dyDescent="0.3">
      <c r="A11" s="12">
        <v>1010</v>
      </c>
      <c r="B11" s="8" t="s">
        <v>97</v>
      </c>
      <c r="C11" s="8" t="s">
        <v>63</v>
      </c>
      <c r="D11" s="8" t="s">
        <v>64</v>
      </c>
      <c r="E11" s="8">
        <v>9988771234</v>
      </c>
      <c r="F11" s="22" t="str">
        <f t="shared" si="0"/>
        <v>10</v>
      </c>
      <c r="G11" s="22" t="str">
        <f t="shared" si="1"/>
        <v>BCO</v>
      </c>
      <c r="H11" s="22" t="str">
        <f t="shared" si="2"/>
        <v>2026</v>
      </c>
      <c r="I11" s="22">
        <f t="shared" si="3"/>
        <v>10</v>
      </c>
      <c r="J11" s="22" t="str">
        <f t="shared" si="4"/>
        <v>anjali singh</v>
      </c>
      <c r="K11" s="22" t="str">
        <f t="shared" si="5"/>
        <v>ANJALI SINGH</v>
      </c>
      <c r="L11" s="22" t="str">
        <f t="shared" si="6"/>
        <v>anjali singh</v>
      </c>
      <c r="M11" s="23" t="str">
        <f t="shared" si="7"/>
        <v>Anjali Singh</v>
      </c>
    </row>
    <row r="12" spans="1:13" x14ac:dyDescent="0.3">
      <c r="A12" s="12">
        <v>1011</v>
      </c>
      <c r="B12" s="8" t="s">
        <v>72</v>
      </c>
      <c r="C12" s="8" t="s">
        <v>57</v>
      </c>
      <c r="D12" s="8" t="s">
        <v>61</v>
      </c>
      <c r="E12" s="8">
        <v>9876123456</v>
      </c>
      <c r="F12" s="22" t="str">
        <f t="shared" si="0"/>
        <v>10</v>
      </c>
      <c r="G12" s="22" t="str">
        <f t="shared" si="1"/>
        <v>BCA</v>
      </c>
      <c r="H12" s="22" t="str">
        <f t="shared" si="2"/>
        <v>2026</v>
      </c>
      <c r="I12" s="22">
        <f t="shared" si="3"/>
        <v>10</v>
      </c>
      <c r="J12" s="22" t="str">
        <f t="shared" si="4"/>
        <v>Vivek Kumar</v>
      </c>
      <c r="K12" s="22" t="str">
        <f t="shared" si="5"/>
        <v>VIVEK KUMAR</v>
      </c>
      <c r="L12" s="22" t="str">
        <f t="shared" si="6"/>
        <v>vivek kumar</v>
      </c>
      <c r="M12" s="23" t="str">
        <f t="shared" si="7"/>
        <v>Vivek Kumar</v>
      </c>
    </row>
    <row r="13" spans="1:13" x14ac:dyDescent="0.3">
      <c r="A13" s="12">
        <v>1012</v>
      </c>
      <c r="B13" s="8" t="s">
        <v>73</v>
      </c>
      <c r="C13" s="8" t="s">
        <v>57</v>
      </c>
      <c r="D13" s="8" t="s">
        <v>58</v>
      </c>
      <c r="E13" s="8">
        <v>9123456789</v>
      </c>
      <c r="F13" s="22" t="str">
        <f t="shared" si="0"/>
        <v>10</v>
      </c>
      <c r="G13" s="22" t="str">
        <f t="shared" si="1"/>
        <v>BCA</v>
      </c>
      <c r="H13" s="22" t="str">
        <f t="shared" si="2"/>
        <v>2026</v>
      </c>
      <c r="I13" s="22">
        <f t="shared" si="3"/>
        <v>10</v>
      </c>
      <c r="J13" s="22" t="str">
        <f t="shared" si="4"/>
        <v>RIYA GUPTA</v>
      </c>
      <c r="K13" s="22" t="str">
        <f t="shared" si="5"/>
        <v>RIYA GUPTA</v>
      </c>
      <c r="L13" s="22" t="str">
        <f t="shared" si="6"/>
        <v>riya gupta</v>
      </c>
      <c r="M13" s="23" t="str">
        <f t="shared" si="7"/>
        <v>Riya Gupta</v>
      </c>
    </row>
    <row r="14" spans="1:13" x14ac:dyDescent="0.3">
      <c r="A14" s="12">
        <v>1013</v>
      </c>
      <c r="B14" s="8" t="s">
        <v>74</v>
      </c>
      <c r="C14" s="8" t="s">
        <v>60</v>
      </c>
      <c r="D14" s="8" t="s">
        <v>69</v>
      </c>
      <c r="E14" s="8">
        <v>9876987654</v>
      </c>
      <c r="F14" s="22" t="str">
        <f t="shared" si="0"/>
        <v>10</v>
      </c>
      <c r="G14" s="22" t="str">
        <f t="shared" si="1"/>
        <v>BBA</v>
      </c>
      <c r="H14" s="22" t="str">
        <f t="shared" si="2"/>
        <v>2026</v>
      </c>
      <c r="I14" s="22">
        <f t="shared" si="3"/>
        <v>10</v>
      </c>
      <c r="J14" s="22" t="str">
        <f t="shared" si="4"/>
        <v>mohit sharma</v>
      </c>
      <c r="K14" s="22" t="str">
        <f t="shared" si="5"/>
        <v>MOHIT SHARMA</v>
      </c>
      <c r="L14" s="22" t="str">
        <f t="shared" si="6"/>
        <v>mohit sharma</v>
      </c>
      <c r="M14" s="23" t="str">
        <f t="shared" si="7"/>
        <v>Mohit Sharma</v>
      </c>
    </row>
    <row r="15" spans="1:13" x14ac:dyDescent="0.3">
      <c r="A15" s="12">
        <v>1014</v>
      </c>
      <c r="B15" s="8" t="s">
        <v>75</v>
      </c>
      <c r="C15" s="8" t="s">
        <v>63</v>
      </c>
      <c r="D15" s="8" t="s">
        <v>66</v>
      </c>
      <c r="E15" s="8">
        <v>9987654321</v>
      </c>
      <c r="F15" s="22" t="str">
        <f t="shared" si="0"/>
        <v>10</v>
      </c>
      <c r="G15" s="22" t="str">
        <f t="shared" si="1"/>
        <v>BCO</v>
      </c>
      <c r="H15" s="22" t="str">
        <f t="shared" si="2"/>
        <v>2026</v>
      </c>
      <c r="I15" s="22">
        <f t="shared" si="3"/>
        <v>10</v>
      </c>
      <c r="J15" s="22" t="str">
        <f t="shared" si="4"/>
        <v>Simran Verma</v>
      </c>
      <c r="K15" s="22" t="str">
        <f t="shared" si="5"/>
        <v>SIMRAN VERMA</v>
      </c>
      <c r="L15" s="22" t="str">
        <f t="shared" si="6"/>
        <v>simran verma</v>
      </c>
      <c r="M15" s="23" t="str">
        <f t="shared" si="7"/>
        <v>Simran Verma</v>
      </c>
    </row>
    <row r="16" spans="1:13" x14ac:dyDescent="0.3">
      <c r="A16" s="12">
        <v>1015</v>
      </c>
      <c r="B16" s="8" t="s">
        <v>76</v>
      </c>
      <c r="C16" s="8" t="s">
        <v>57</v>
      </c>
      <c r="D16" s="8" t="s">
        <v>58</v>
      </c>
      <c r="E16" s="8">
        <v>9123678450</v>
      </c>
      <c r="F16" s="22" t="str">
        <f t="shared" si="0"/>
        <v>10</v>
      </c>
      <c r="G16" s="22" t="str">
        <f t="shared" si="1"/>
        <v>BCA</v>
      </c>
      <c r="H16" s="22" t="str">
        <f t="shared" si="2"/>
        <v>2026</v>
      </c>
      <c r="I16" s="22">
        <f t="shared" si="3"/>
        <v>10</v>
      </c>
      <c r="J16" s="22" t="str">
        <f t="shared" si="4"/>
        <v>ADITYA SINGH</v>
      </c>
      <c r="K16" s="22" t="str">
        <f t="shared" si="5"/>
        <v>ADITYA SINGH</v>
      </c>
      <c r="L16" s="22" t="str">
        <f t="shared" si="6"/>
        <v>aditya singh</v>
      </c>
      <c r="M16" s="23" t="str">
        <f t="shared" si="7"/>
        <v>Aditya Singh</v>
      </c>
    </row>
    <row r="17" spans="1:13" x14ac:dyDescent="0.3">
      <c r="A17" s="12">
        <v>1016</v>
      </c>
      <c r="B17" s="8" t="s">
        <v>98</v>
      </c>
      <c r="C17" s="8" t="s">
        <v>60</v>
      </c>
      <c r="D17" s="8" t="s">
        <v>61</v>
      </c>
      <c r="E17" s="8">
        <v>9876549876</v>
      </c>
      <c r="F17" s="22" t="str">
        <f t="shared" si="0"/>
        <v>10</v>
      </c>
      <c r="G17" s="22" t="str">
        <f t="shared" si="1"/>
        <v>BBA</v>
      </c>
      <c r="H17" s="22" t="str">
        <f t="shared" si="2"/>
        <v>2026</v>
      </c>
      <c r="I17" s="22">
        <f t="shared" si="3"/>
        <v>10</v>
      </c>
      <c r="J17" s="22" t="str">
        <f t="shared" si="4"/>
        <v>kavita kumar</v>
      </c>
      <c r="K17" s="22" t="str">
        <f t="shared" si="5"/>
        <v>KAVITA KUMAR</v>
      </c>
      <c r="L17" s="22" t="str">
        <f t="shared" si="6"/>
        <v>kavita kumar</v>
      </c>
      <c r="M17" s="23" t="str">
        <f t="shared" si="7"/>
        <v>Kavita Kumar</v>
      </c>
    </row>
    <row r="18" spans="1:13" x14ac:dyDescent="0.3">
      <c r="A18" s="12">
        <v>1017</v>
      </c>
      <c r="B18" s="8" t="s">
        <v>77</v>
      </c>
      <c r="C18" s="8" t="s">
        <v>57</v>
      </c>
      <c r="D18" s="8" t="s">
        <v>64</v>
      </c>
      <c r="E18" s="8">
        <v>9988123674</v>
      </c>
      <c r="F18" s="22" t="str">
        <f t="shared" si="0"/>
        <v>10</v>
      </c>
      <c r="G18" s="22" t="str">
        <f t="shared" si="1"/>
        <v>BCA</v>
      </c>
      <c r="H18" s="22" t="str">
        <f t="shared" si="2"/>
        <v>2026</v>
      </c>
      <c r="I18" s="22">
        <f t="shared" si="3"/>
        <v>10</v>
      </c>
      <c r="J18" s="22" t="str">
        <f t="shared" si="4"/>
        <v>Saurabh Gupta</v>
      </c>
      <c r="K18" s="22" t="str">
        <f t="shared" si="5"/>
        <v>SAURABH GUPTA</v>
      </c>
      <c r="L18" s="22" t="str">
        <f t="shared" si="6"/>
        <v>saurabh gupta</v>
      </c>
      <c r="M18" s="23" t="str">
        <f t="shared" si="7"/>
        <v>Saurabh Gupta</v>
      </c>
    </row>
    <row r="19" spans="1:13" x14ac:dyDescent="0.3">
      <c r="A19" s="12">
        <v>1018</v>
      </c>
      <c r="B19" s="8" t="s">
        <v>78</v>
      </c>
      <c r="C19" s="8" t="s">
        <v>63</v>
      </c>
      <c r="D19" s="8" t="s">
        <v>58</v>
      </c>
      <c r="E19" s="8">
        <v>9123987612</v>
      </c>
      <c r="F19" s="22" t="str">
        <f t="shared" si="0"/>
        <v>10</v>
      </c>
      <c r="G19" s="22" t="str">
        <f t="shared" si="1"/>
        <v>BCO</v>
      </c>
      <c r="H19" s="22" t="str">
        <f t="shared" si="2"/>
        <v>2026</v>
      </c>
      <c r="I19" s="22">
        <f t="shared" si="3"/>
        <v>10</v>
      </c>
      <c r="J19" s="22" t="str">
        <f t="shared" si="4"/>
        <v>NISHA SHARMA</v>
      </c>
      <c r="K19" s="22" t="str">
        <f t="shared" si="5"/>
        <v>NISHA SHARMA</v>
      </c>
      <c r="L19" s="22" t="str">
        <f t="shared" si="6"/>
        <v>nisha sharma</v>
      </c>
      <c r="M19" s="23" t="str">
        <f t="shared" si="7"/>
        <v>Nisha Sharma</v>
      </c>
    </row>
    <row r="20" spans="1:13" x14ac:dyDescent="0.3">
      <c r="A20" s="12">
        <v>1019</v>
      </c>
      <c r="B20" s="8" t="s">
        <v>79</v>
      </c>
      <c r="C20" s="8" t="s">
        <v>60</v>
      </c>
      <c r="D20" s="8" t="s">
        <v>66</v>
      </c>
      <c r="E20" s="8">
        <v>9876123987</v>
      </c>
      <c r="F20" s="22" t="str">
        <f t="shared" si="0"/>
        <v>10</v>
      </c>
      <c r="G20" s="22" t="str">
        <f t="shared" si="1"/>
        <v>BBA</v>
      </c>
      <c r="H20" s="22" t="str">
        <f t="shared" si="2"/>
        <v>2026</v>
      </c>
      <c r="I20" s="22">
        <f t="shared" si="3"/>
        <v>10</v>
      </c>
      <c r="J20" s="22" t="str">
        <f t="shared" si="4"/>
        <v>varun mehta</v>
      </c>
      <c r="K20" s="22" t="str">
        <f t="shared" si="5"/>
        <v>VARUN MEHTA</v>
      </c>
      <c r="L20" s="22" t="str">
        <f t="shared" si="6"/>
        <v>varun mehta</v>
      </c>
      <c r="M20" s="23" t="str">
        <f t="shared" si="7"/>
        <v>Varun Mehta</v>
      </c>
    </row>
    <row r="21" spans="1:13" x14ac:dyDescent="0.3">
      <c r="A21" s="12">
        <v>1020</v>
      </c>
      <c r="B21" s="8" t="s">
        <v>80</v>
      </c>
      <c r="C21" s="8" t="s">
        <v>57</v>
      </c>
      <c r="D21" s="8" t="s">
        <v>69</v>
      </c>
      <c r="E21" s="8">
        <v>9988765432</v>
      </c>
      <c r="F21" s="22" t="str">
        <f t="shared" si="0"/>
        <v>10</v>
      </c>
      <c r="G21" s="22" t="str">
        <f t="shared" si="1"/>
        <v>BCA</v>
      </c>
      <c r="H21" s="22" t="str">
        <f t="shared" si="2"/>
        <v>2026</v>
      </c>
      <c r="I21" s="22">
        <f t="shared" si="3"/>
        <v>10</v>
      </c>
      <c r="J21" s="22" t="str">
        <f t="shared" si="4"/>
        <v>Meera Singh</v>
      </c>
      <c r="K21" s="22" t="str">
        <f t="shared" si="5"/>
        <v>MEERA SINGH</v>
      </c>
      <c r="L21" s="22" t="str">
        <f t="shared" si="6"/>
        <v>meera singh</v>
      </c>
      <c r="M21" s="23" t="str">
        <f t="shared" si="7"/>
        <v>Meera Singh</v>
      </c>
    </row>
    <row r="22" spans="1:13" x14ac:dyDescent="0.3">
      <c r="A22" s="12">
        <v>1021</v>
      </c>
      <c r="B22" s="8" t="s">
        <v>81</v>
      </c>
      <c r="C22" s="8" t="s">
        <v>63</v>
      </c>
      <c r="D22" s="8" t="s">
        <v>61</v>
      </c>
      <c r="E22" s="8">
        <v>9123456123</v>
      </c>
      <c r="F22" s="22" t="str">
        <f t="shared" si="0"/>
        <v>10</v>
      </c>
      <c r="G22" s="22" t="str">
        <f t="shared" si="1"/>
        <v>BCO</v>
      </c>
      <c r="H22" s="22" t="str">
        <f t="shared" si="2"/>
        <v>2026</v>
      </c>
      <c r="I22" s="22">
        <f t="shared" si="3"/>
        <v>10</v>
      </c>
      <c r="J22" s="22" t="str">
        <f t="shared" si="4"/>
        <v>DEEPAK KUMAR</v>
      </c>
      <c r="K22" s="22" t="str">
        <f t="shared" si="5"/>
        <v>DEEPAK KUMAR</v>
      </c>
      <c r="L22" s="22" t="str">
        <f t="shared" si="6"/>
        <v>deepak kumar</v>
      </c>
      <c r="M22" s="23" t="str">
        <f t="shared" si="7"/>
        <v>Deepak Kumar</v>
      </c>
    </row>
    <row r="23" spans="1:13" x14ac:dyDescent="0.3">
      <c r="A23" s="12">
        <v>1022</v>
      </c>
      <c r="B23" s="8" t="s">
        <v>82</v>
      </c>
      <c r="C23" s="8" t="s">
        <v>57</v>
      </c>
      <c r="D23" s="8" t="s">
        <v>58</v>
      </c>
      <c r="E23" s="8">
        <v>9876981234</v>
      </c>
      <c r="F23" s="22" t="str">
        <f t="shared" si="0"/>
        <v>10</v>
      </c>
      <c r="G23" s="22" t="str">
        <f t="shared" si="1"/>
        <v>BCA</v>
      </c>
      <c r="H23" s="22" t="str">
        <f t="shared" si="2"/>
        <v>2026</v>
      </c>
      <c r="I23" s="22">
        <f t="shared" si="3"/>
        <v>10</v>
      </c>
      <c r="J23" s="22" t="str">
        <f t="shared" si="4"/>
        <v>aisha verma</v>
      </c>
      <c r="K23" s="22" t="str">
        <f t="shared" si="5"/>
        <v>AISHA VERMA</v>
      </c>
      <c r="L23" s="22" t="str">
        <f t="shared" si="6"/>
        <v>aisha verma</v>
      </c>
      <c r="M23" s="23" t="str">
        <f t="shared" si="7"/>
        <v>Aisha Verma</v>
      </c>
    </row>
    <row r="24" spans="1:13" x14ac:dyDescent="0.3">
      <c r="A24" s="12">
        <v>1023</v>
      </c>
      <c r="B24" s="8" t="s">
        <v>83</v>
      </c>
      <c r="C24" s="8" t="s">
        <v>60</v>
      </c>
      <c r="D24" s="8" t="s">
        <v>64</v>
      </c>
      <c r="E24" s="8">
        <v>9987651234</v>
      </c>
      <c r="F24" s="22" t="str">
        <f t="shared" si="0"/>
        <v>10</v>
      </c>
      <c r="G24" s="22" t="str">
        <f t="shared" si="1"/>
        <v>BBA</v>
      </c>
      <c r="H24" s="22" t="str">
        <f t="shared" si="2"/>
        <v>2026</v>
      </c>
      <c r="I24" s="22">
        <f t="shared" si="3"/>
        <v>10</v>
      </c>
      <c r="J24" s="22" t="str">
        <f t="shared" si="4"/>
        <v>Nitin Sharma</v>
      </c>
      <c r="K24" s="22" t="str">
        <f t="shared" si="5"/>
        <v>NITIN SHARMA</v>
      </c>
      <c r="L24" s="22" t="str">
        <f t="shared" si="6"/>
        <v>nitin sharma</v>
      </c>
      <c r="M24" s="23" t="str">
        <f t="shared" si="7"/>
        <v>Nitin Sharma</v>
      </c>
    </row>
    <row r="25" spans="1:13" x14ac:dyDescent="0.3">
      <c r="A25" s="12">
        <v>1024</v>
      </c>
      <c r="B25" s="8" t="s">
        <v>84</v>
      </c>
      <c r="C25" s="8" t="s">
        <v>57</v>
      </c>
      <c r="D25" s="8" t="s">
        <v>66</v>
      </c>
      <c r="E25" s="8">
        <v>9123678912</v>
      </c>
      <c r="F25" s="22" t="str">
        <f t="shared" si="0"/>
        <v>10</v>
      </c>
      <c r="G25" s="22" t="str">
        <f t="shared" si="1"/>
        <v>BCA</v>
      </c>
      <c r="H25" s="22" t="str">
        <f t="shared" si="2"/>
        <v>2026</v>
      </c>
      <c r="I25" s="22">
        <f t="shared" si="3"/>
        <v>10</v>
      </c>
      <c r="J25" s="22" t="str">
        <f t="shared" si="4"/>
        <v>SHREYA GUPTA</v>
      </c>
      <c r="K25" s="22" t="str">
        <f t="shared" si="5"/>
        <v>SHREYA GUPTA</v>
      </c>
      <c r="L25" s="22" t="str">
        <f t="shared" si="6"/>
        <v>shreya gupta</v>
      </c>
      <c r="M25" s="23" t="str">
        <f t="shared" si="7"/>
        <v>Shreya Gupta</v>
      </c>
    </row>
    <row r="26" spans="1:13" x14ac:dyDescent="0.3">
      <c r="A26" s="12">
        <v>1025</v>
      </c>
      <c r="B26" s="8" t="s">
        <v>85</v>
      </c>
      <c r="C26" s="8" t="s">
        <v>63</v>
      </c>
      <c r="D26" s="8" t="s">
        <v>69</v>
      </c>
      <c r="E26" s="8">
        <v>9876123450</v>
      </c>
      <c r="F26" s="22" t="str">
        <f t="shared" si="0"/>
        <v>10</v>
      </c>
      <c r="G26" s="22" t="str">
        <f t="shared" si="1"/>
        <v>BCO</v>
      </c>
      <c r="H26" s="22" t="str">
        <f t="shared" si="2"/>
        <v>2026</v>
      </c>
      <c r="I26" s="22">
        <f t="shared" si="3"/>
        <v>10</v>
      </c>
      <c r="J26" s="22" t="str">
        <f t="shared" si="4"/>
        <v>akash singh</v>
      </c>
      <c r="K26" s="22" t="str">
        <f t="shared" si="5"/>
        <v>AKASH SINGH</v>
      </c>
      <c r="L26" s="22" t="str">
        <f t="shared" si="6"/>
        <v>akash singh</v>
      </c>
      <c r="M26" s="23" t="str">
        <f t="shared" si="7"/>
        <v>Akash Singh</v>
      </c>
    </row>
    <row r="27" spans="1:13" x14ac:dyDescent="0.3">
      <c r="A27" s="12">
        <v>1026</v>
      </c>
      <c r="B27" s="8" t="s">
        <v>86</v>
      </c>
      <c r="C27" s="8" t="s">
        <v>60</v>
      </c>
      <c r="D27" s="8" t="s">
        <v>58</v>
      </c>
      <c r="E27" s="8">
        <v>9988123456</v>
      </c>
      <c r="F27" s="22" t="str">
        <f t="shared" si="0"/>
        <v>10</v>
      </c>
      <c r="G27" s="22" t="str">
        <f t="shared" si="1"/>
        <v>BBA</v>
      </c>
      <c r="H27" s="22" t="str">
        <f t="shared" si="2"/>
        <v>2026</v>
      </c>
      <c r="I27" s="22">
        <f t="shared" si="3"/>
        <v>10</v>
      </c>
      <c r="J27" s="22" t="str">
        <f t="shared" si="4"/>
        <v>Divya Kumar</v>
      </c>
      <c r="K27" s="22" t="str">
        <f t="shared" si="5"/>
        <v>DIVYA KUMAR</v>
      </c>
      <c r="L27" s="22" t="str">
        <f t="shared" si="6"/>
        <v>divya kumar</v>
      </c>
      <c r="M27" s="23" t="str">
        <f t="shared" si="7"/>
        <v>Divya Kumar</v>
      </c>
    </row>
    <row r="28" spans="1:13" x14ac:dyDescent="0.3">
      <c r="A28" s="12">
        <v>1027</v>
      </c>
      <c r="B28" s="8" t="s">
        <v>87</v>
      </c>
      <c r="C28" s="8" t="s">
        <v>57</v>
      </c>
      <c r="D28" s="8" t="s">
        <v>61</v>
      </c>
      <c r="E28" s="8">
        <v>9123987650</v>
      </c>
      <c r="F28" s="22" t="str">
        <f t="shared" si="0"/>
        <v>10</v>
      </c>
      <c r="G28" s="22" t="str">
        <f t="shared" si="1"/>
        <v>BCA</v>
      </c>
      <c r="H28" s="22" t="str">
        <f t="shared" si="2"/>
        <v>2026</v>
      </c>
      <c r="I28" s="22">
        <f t="shared" si="3"/>
        <v>10</v>
      </c>
      <c r="J28" s="22" t="str">
        <f t="shared" si="4"/>
        <v>SAMEER VERMA</v>
      </c>
      <c r="K28" s="22" t="str">
        <f t="shared" si="5"/>
        <v>SAMEER VERMA</v>
      </c>
      <c r="L28" s="22" t="str">
        <f t="shared" si="6"/>
        <v>sameer verma</v>
      </c>
      <c r="M28" s="23" t="str">
        <f t="shared" si="7"/>
        <v>Sameer Verma</v>
      </c>
    </row>
    <row r="29" spans="1:13" x14ac:dyDescent="0.3">
      <c r="A29" s="12">
        <v>1028</v>
      </c>
      <c r="B29" s="8" t="s">
        <v>88</v>
      </c>
      <c r="C29" s="8" t="s">
        <v>63</v>
      </c>
      <c r="D29" s="8" t="s">
        <v>64</v>
      </c>
      <c r="E29" s="8">
        <v>9876547890</v>
      </c>
      <c r="F29" s="22" t="str">
        <f t="shared" si="0"/>
        <v>10</v>
      </c>
      <c r="G29" s="22" t="str">
        <f t="shared" si="1"/>
        <v>BCO</v>
      </c>
      <c r="H29" s="22" t="str">
        <f t="shared" si="2"/>
        <v>2026</v>
      </c>
      <c r="I29" s="22">
        <f t="shared" si="3"/>
        <v>10</v>
      </c>
      <c r="J29" s="22" t="str">
        <f t="shared" si="4"/>
        <v>isha sharma</v>
      </c>
      <c r="K29" s="22" t="str">
        <f t="shared" si="5"/>
        <v>ISHA SHARMA</v>
      </c>
      <c r="L29" s="22" t="str">
        <f t="shared" si="6"/>
        <v>isha sharma</v>
      </c>
      <c r="M29" s="23" t="str">
        <f t="shared" si="7"/>
        <v>Isha Sharma</v>
      </c>
    </row>
    <row r="30" spans="1:13" x14ac:dyDescent="0.3">
      <c r="A30" s="12">
        <v>1029</v>
      </c>
      <c r="B30" s="8" t="s">
        <v>89</v>
      </c>
      <c r="C30" s="8" t="s">
        <v>60</v>
      </c>
      <c r="D30" s="8" t="s">
        <v>66</v>
      </c>
      <c r="E30" s="8">
        <v>9988773456</v>
      </c>
      <c r="F30" s="22" t="str">
        <f t="shared" si="0"/>
        <v>10</v>
      </c>
      <c r="G30" s="22" t="str">
        <f t="shared" si="1"/>
        <v>BBA</v>
      </c>
      <c r="H30" s="22" t="str">
        <f t="shared" si="2"/>
        <v>2026</v>
      </c>
      <c r="I30" s="22">
        <f t="shared" si="3"/>
        <v>10</v>
      </c>
      <c r="J30" s="22" t="str">
        <f t="shared" si="4"/>
        <v>Manish Singh</v>
      </c>
      <c r="K30" s="22" t="str">
        <f t="shared" si="5"/>
        <v>MANISH SINGH</v>
      </c>
      <c r="L30" s="22" t="str">
        <f t="shared" si="6"/>
        <v>manish singh</v>
      </c>
      <c r="M30" s="23" t="str">
        <f t="shared" si="7"/>
        <v>Manish Singh</v>
      </c>
    </row>
    <row r="31" spans="1:13" ht="15" thickBot="1" x14ac:dyDescent="0.35">
      <c r="A31" s="13">
        <v>1030</v>
      </c>
      <c r="B31" s="14" t="s">
        <v>90</v>
      </c>
      <c r="C31" s="14" t="s">
        <v>57</v>
      </c>
      <c r="D31" s="14" t="s">
        <v>58</v>
      </c>
      <c r="E31" s="14">
        <v>9123678901</v>
      </c>
      <c r="F31" s="24" t="str">
        <f t="shared" si="0"/>
        <v>10</v>
      </c>
      <c r="G31" s="24" t="str">
        <f t="shared" si="1"/>
        <v>BCA</v>
      </c>
      <c r="H31" s="24" t="str">
        <f t="shared" si="2"/>
        <v>2026</v>
      </c>
      <c r="I31" s="24">
        <f t="shared" si="3"/>
        <v>10</v>
      </c>
      <c r="J31" s="24" t="str">
        <f t="shared" si="4"/>
        <v>TANYA GUPTA</v>
      </c>
      <c r="K31" s="24" t="str">
        <f t="shared" si="5"/>
        <v>TANYA GUPTA</v>
      </c>
      <c r="L31" s="24" t="str">
        <f t="shared" si="6"/>
        <v>tanya gupta</v>
      </c>
      <c r="M31" s="25" t="str">
        <f t="shared" si="7"/>
        <v>Tanya Gupta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6899-3804-4C58-AA97-1DAE69CF7DE0}">
  <dimension ref="A1:Q34"/>
  <sheetViews>
    <sheetView workbookViewId="0">
      <selection activeCell="I15" sqref="I15:K22"/>
    </sheetView>
  </sheetViews>
  <sheetFormatPr defaultRowHeight="14.4" x14ac:dyDescent="0.3"/>
  <cols>
    <col min="1" max="1" width="11.109375" bestFit="1" customWidth="1"/>
    <col min="2" max="2" width="14.88671875" bestFit="1" customWidth="1"/>
    <col min="3" max="3" width="11.21875" bestFit="1" customWidth="1"/>
    <col min="4" max="4" width="10.33203125" bestFit="1" customWidth="1"/>
    <col min="5" max="5" width="16" customWidth="1"/>
    <col min="6" max="6" width="10.6640625" bestFit="1" customWidth="1"/>
    <col min="8" max="8" width="9.88671875" bestFit="1" customWidth="1"/>
    <col min="9" max="9" width="9.6640625" bestFit="1" customWidth="1"/>
    <col min="10" max="10" width="10.33203125" bestFit="1" customWidth="1"/>
    <col min="12" max="12" width="10.33203125" bestFit="1" customWidth="1"/>
    <col min="16" max="16" width="14.21875" bestFit="1" customWidth="1"/>
    <col min="17" max="17" width="19.21875" bestFit="1" customWidth="1"/>
  </cols>
  <sheetData>
    <row r="1" spans="1:17" x14ac:dyDescent="0.3">
      <c r="A1" s="34" t="s">
        <v>102</v>
      </c>
      <c r="B1" s="35" t="s">
        <v>103</v>
      </c>
      <c r="C1" s="35" t="s">
        <v>104</v>
      </c>
      <c r="D1" s="35" t="s">
        <v>105</v>
      </c>
      <c r="E1" s="35" t="s">
        <v>106</v>
      </c>
      <c r="F1" s="36" t="s">
        <v>107</v>
      </c>
      <c r="G1" s="1"/>
      <c r="H1" s="65" t="s">
        <v>127</v>
      </c>
      <c r="I1" s="66"/>
      <c r="J1" s="66"/>
      <c r="K1" s="66"/>
      <c r="L1" s="66"/>
      <c r="M1" s="67" t="s">
        <v>128</v>
      </c>
      <c r="N1" s="67"/>
      <c r="O1" s="68" t="s">
        <v>133</v>
      </c>
      <c r="P1" s="68"/>
      <c r="Q1" s="69"/>
    </row>
    <row r="2" spans="1:17" x14ac:dyDescent="0.3">
      <c r="A2" s="5" t="s">
        <v>108</v>
      </c>
      <c r="B2" s="3" t="s">
        <v>6</v>
      </c>
      <c r="C2" s="30">
        <v>44576</v>
      </c>
      <c r="D2" s="30">
        <v>36229</v>
      </c>
      <c r="E2" s="30">
        <v>46054</v>
      </c>
      <c r="F2" s="31">
        <v>46081</v>
      </c>
      <c r="G2" s="29"/>
      <c r="H2" s="39" t="s">
        <v>126</v>
      </c>
      <c r="I2" s="37" t="s">
        <v>123</v>
      </c>
      <c r="J2" s="37" t="s">
        <v>124</v>
      </c>
      <c r="K2" s="37" t="s">
        <v>125</v>
      </c>
      <c r="L2" s="37" t="s">
        <v>126</v>
      </c>
      <c r="M2" s="37" t="s">
        <v>128</v>
      </c>
      <c r="N2" s="37" t="s">
        <v>129</v>
      </c>
      <c r="O2" s="37" t="s">
        <v>130</v>
      </c>
      <c r="P2" s="37" t="s">
        <v>131</v>
      </c>
      <c r="Q2" s="40" t="s">
        <v>132</v>
      </c>
    </row>
    <row r="3" spans="1:17" x14ac:dyDescent="0.3">
      <c r="A3" s="5" t="s">
        <v>109</v>
      </c>
      <c r="B3" s="3" t="s">
        <v>4</v>
      </c>
      <c r="C3" s="30">
        <v>44277</v>
      </c>
      <c r="D3" s="30">
        <v>36001</v>
      </c>
      <c r="E3" s="30">
        <v>46037</v>
      </c>
      <c r="F3" s="31">
        <v>46127</v>
      </c>
      <c r="G3" s="29"/>
      <c r="H3" s="41">
        <v>44576</v>
      </c>
      <c r="I3" s="15">
        <f>DAY(C2)</f>
        <v>15</v>
      </c>
      <c r="J3" s="15">
        <f>MONTH(H3)</f>
        <v>1</v>
      </c>
      <c r="K3" s="15">
        <f>YEAR(H3)</f>
        <v>2022</v>
      </c>
      <c r="L3" s="38">
        <f>DATE(K3,J3,I3)</f>
        <v>44576</v>
      </c>
      <c r="M3" s="15" t="str">
        <f>TEXT(H3,"DDDD")</f>
        <v>Saturday</v>
      </c>
      <c r="N3" s="15" t="str">
        <f>TEXT(H3,"MMMM")</f>
        <v>January</v>
      </c>
      <c r="O3" s="15">
        <f>_xlfn.DAYS(F2,E2)</f>
        <v>27</v>
      </c>
      <c r="P3" s="15">
        <f>NETWORKDAYS(E2,F2)</f>
        <v>20</v>
      </c>
      <c r="Q3" s="17">
        <f>NETWORKDAYS.INTL(E2,F2,11)</f>
        <v>24</v>
      </c>
    </row>
    <row r="4" spans="1:17" x14ac:dyDescent="0.3">
      <c r="A4" s="5" t="s">
        <v>110</v>
      </c>
      <c r="B4" s="3" t="s">
        <v>2</v>
      </c>
      <c r="C4" s="30">
        <v>45087</v>
      </c>
      <c r="D4" s="30">
        <v>36878</v>
      </c>
      <c r="E4" s="30">
        <v>46082</v>
      </c>
      <c r="F4" s="31">
        <v>46173</v>
      </c>
      <c r="G4" s="29"/>
      <c r="H4" s="41">
        <v>44277</v>
      </c>
      <c r="I4" s="15">
        <f t="shared" ref="I4:I12" si="0">DAY(C3)</f>
        <v>22</v>
      </c>
      <c r="J4" s="15">
        <f t="shared" ref="J4:J12" si="1">MONTH(H4)</f>
        <v>3</v>
      </c>
      <c r="K4" s="15">
        <f t="shared" ref="K4:K12" si="2">YEAR(H4)</f>
        <v>2021</v>
      </c>
      <c r="L4" s="38">
        <f t="shared" ref="L4:L12" si="3">DATE(K4,J4,I4)</f>
        <v>44277</v>
      </c>
      <c r="M4" s="15" t="str">
        <f t="shared" ref="M4:M12" si="4">TEXT(H4,"DDDD")</f>
        <v>Monday</v>
      </c>
      <c r="N4" s="15" t="str">
        <f t="shared" ref="N4:N12" si="5">TEXT(H4,"MMMM")</f>
        <v>March</v>
      </c>
      <c r="O4" s="15">
        <f t="shared" ref="O4:O12" si="6">_xlfn.DAYS(F3,E3)</f>
        <v>90</v>
      </c>
      <c r="P4" s="15">
        <f t="shared" ref="P4:P12" si="7">NETWORKDAYS(E3,F3)</f>
        <v>65</v>
      </c>
      <c r="Q4" s="17">
        <f t="shared" ref="Q4:Q12" si="8">NETWORKDAYS.INTL(E3,F3,11)</f>
        <v>78</v>
      </c>
    </row>
    <row r="5" spans="1:17" x14ac:dyDescent="0.3">
      <c r="A5" s="5" t="s">
        <v>111</v>
      </c>
      <c r="B5" s="3" t="s">
        <v>7</v>
      </c>
      <c r="C5" s="30">
        <v>44079</v>
      </c>
      <c r="D5" s="30">
        <v>35463</v>
      </c>
      <c r="E5" s="30">
        <v>46063</v>
      </c>
      <c r="F5" s="31">
        <v>46091</v>
      </c>
      <c r="G5" s="29"/>
      <c r="H5" s="41">
        <v>45087</v>
      </c>
      <c r="I5" s="15">
        <f t="shared" si="0"/>
        <v>10</v>
      </c>
      <c r="J5" s="15">
        <f t="shared" si="1"/>
        <v>6</v>
      </c>
      <c r="K5" s="15">
        <f t="shared" si="2"/>
        <v>2023</v>
      </c>
      <c r="L5" s="38">
        <f t="shared" si="3"/>
        <v>45087</v>
      </c>
      <c r="M5" s="15" t="str">
        <f t="shared" si="4"/>
        <v>Saturday</v>
      </c>
      <c r="N5" s="15" t="str">
        <f t="shared" si="5"/>
        <v>June</v>
      </c>
      <c r="O5" s="15">
        <f t="shared" si="6"/>
        <v>91</v>
      </c>
      <c r="P5" s="15">
        <f t="shared" si="7"/>
        <v>65</v>
      </c>
      <c r="Q5" s="17">
        <f t="shared" si="8"/>
        <v>78</v>
      </c>
    </row>
    <row r="6" spans="1:17" x14ac:dyDescent="0.3">
      <c r="A6" s="5" t="s">
        <v>112</v>
      </c>
      <c r="B6" s="3" t="s">
        <v>8</v>
      </c>
      <c r="C6" s="30">
        <v>44883</v>
      </c>
      <c r="D6" s="30">
        <v>36386</v>
      </c>
      <c r="E6" s="30">
        <v>46132</v>
      </c>
      <c r="F6" s="31">
        <v>46193</v>
      </c>
      <c r="G6" s="29"/>
      <c r="H6" s="41">
        <v>44079</v>
      </c>
      <c r="I6" s="15">
        <f t="shared" si="0"/>
        <v>5</v>
      </c>
      <c r="J6" s="15">
        <f t="shared" si="1"/>
        <v>9</v>
      </c>
      <c r="K6" s="15">
        <f t="shared" si="2"/>
        <v>2020</v>
      </c>
      <c r="L6" s="38">
        <f t="shared" si="3"/>
        <v>44079</v>
      </c>
      <c r="M6" s="15" t="str">
        <f t="shared" si="4"/>
        <v>Saturday</v>
      </c>
      <c r="N6" s="15" t="str">
        <f t="shared" si="5"/>
        <v>September</v>
      </c>
      <c r="O6" s="15">
        <f t="shared" si="6"/>
        <v>28</v>
      </c>
      <c r="P6" s="15">
        <f t="shared" si="7"/>
        <v>21</v>
      </c>
      <c r="Q6" s="17">
        <f t="shared" si="8"/>
        <v>25</v>
      </c>
    </row>
    <row r="7" spans="1:17" x14ac:dyDescent="0.3">
      <c r="A7" s="5" t="s">
        <v>113</v>
      </c>
      <c r="B7" s="3" t="s">
        <v>9</v>
      </c>
      <c r="C7" s="30">
        <v>45334</v>
      </c>
      <c r="D7" s="30">
        <v>36921</v>
      </c>
      <c r="E7" s="30">
        <v>46147</v>
      </c>
      <c r="F7" s="31">
        <v>46208</v>
      </c>
      <c r="G7" s="29"/>
      <c r="H7" s="41">
        <v>44883</v>
      </c>
      <c r="I7" s="15">
        <f t="shared" si="0"/>
        <v>18</v>
      </c>
      <c r="J7" s="15">
        <f t="shared" si="1"/>
        <v>11</v>
      </c>
      <c r="K7" s="15">
        <f t="shared" si="2"/>
        <v>2022</v>
      </c>
      <c r="L7" s="38">
        <f t="shared" si="3"/>
        <v>44883</v>
      </c>
      <c r="M7" s="15" t="str">
        <f t="shared" si="4"/>
        <v>Friday</v>
      </c>
      <c r="N7" s="15" t="str">
        <f t="shared" si="5"/>
        <v>November</v>
      </c>
      <c r="O7" s="15">
        <f t="shared" si="6"/>
        <v>61</v>
      </c>
      <c r="P7" s="15">
        <f t="shared" si="7"/>
        <v>45</v>
      </c>
      <c r="Q7" s="17">
        <f t="shared" si="8"/>
        <v>54</v>
      </c>
    </row>
    <row r="8" spans="1:17" x14ac:dyDescent="0.3">
      <c r="A8" s="5" t="s">
        <v>114</v>
      </c>
      <c r="B8" s="3" t="s">
        <v>10</v>
      </c>
      <c r="C8" s="30">
        <v>43671</v>
      </c>
      <c r="D8" s="30">
        <v>35329</v>
      </c>
      <c r="E8" s="30">
        <v>46188</v>
      </c>
      <c r="F8" s="31">
        <v>46249</v>
      </c>
      <c r="G8" s="29"/>
      <c r="H8" s="41">
        <v>45334</v>
      </c>
      <c r="I8" s="15">
        <f t="shared" si="0"/>
        <v>12</v>
      </c>
      <c r="J8" s="15">
        <f t="shared" si="1"/>
        <v>2</v>
      </c>
      <c r="K8" s="15">
        <f t="shared" si="2"/>
        <v>2024</v>
      </c>
      <c r="L8" s="38">
        <f t="shared" si="3"/>
        <v>45334</v>
      </c>
      <c r="M8" s="15" t="str">
        <f t="shared" si="4"/>
        <v>Monday</v>
      </c>
      <c r="N8" s="15" t="str">
        <f t="shared" si="5"/>
        <v>February</v>
      </c>
      <c r="O8" s="15">
        <f t="shared" si="6"/>
        <v>61</v>
      </c>
      <c r="P8" s="15">
        <f t="shared" si="7"/>
        <v>44</v>
      </c>
      <c r="Q8" s="17">
        <f t="shared" si="8"/>
        <v>53</v>
      </c>
    </row>
    <row r="9" spans="1:17" x14ac:dyDescent="0.3">
      <c r="A9" s="5" t="s">
        <v>115</v>
      </c>
      <c r="B9" s="3" t="s">
        <v>13</v>
      </c>
      <c r="C9" s="30">
        <v>44560</v>
      </c>
      <c r="D9" s="30">
        <v>35920</v>
      </c>
      <c r="E9" s="30">
        <v>46204</v>
      </c>
      <c r="F9" s="31">
        <v>46295</v>
      </c>
      <c r="G9" s="29"/>
      <c r="H9" s="41">
        <v>43671</v>
      </c>
      <c r="I9" s="15">
        <f t="shared" si="0"/>
        <v>25</v>
      </c>
      <c r="J9" s="15">
        <f t="shared" si="1"/>
        <v>7</v>
      </c>
      <c r="K9" s="15">
        <f t="shared" si="2"/>
        <v>2019</v>
      </c>
      <c r="L9" s="38">
        <f t="shared" si="3"/>
        <v>43671</v>
      </c>
      <c r="M9" s="15" t="str">
        <f t="shared" si="4"/>
        <v>Thursday</v>
      </c>
      <c r="N9" s="15" t="str">
        <f t="shared" si="5"/>
        <v>July</v>
      </c>
      <c r="O9" s="15">
        <f t="shared" si="6"/>
        <v>61</v>
      </c>
      <c r="P9" s="15">
        <f t="shared" si="7"/>
        <v>45</v>
      </c>
      <c r="Q9" s="17">
        <f t="shared" si="8"/>
        <v>54</v>
      </c>
    </row>
    <row r="10" spans="1:17" x14ac:dyDescent="0.3">
      <c r="A10" s="5" t="s">
        <v>116</v>
      </c>
      <c r="B10" s="3" t="s">
        <v>12</v>
      </c>
      <c r="C10" s="30">
        <v>45024</v>
      </c>
      <c r="D10" s="30">
        <v>36841</v>
      </c>
      <c r="E10" s="30">
        <v>46244</v>
      </c>
      <c r="F10" s="31">
        <v>46305</v>
      </c>
      <c r="G10" s="29"/>
      <c r="H10" s="41">
        <v>44560</v>
      </c>
      <c r="I10" s="15">
        <f t="shared" si="0"/>
        <v>30</v>
      </c>
      <c r="J10" s="15">
        <f t="shared" si="1"/>
        <v>12</v>
      </c>
      <c r="K10" s="15">
        <f t="shared" si="2"/>
        <v>2021</v>
      </c>
      <c r="L10" s="38">
        <f t="shared" si="3"/>
        <v>44560</v>
      </c>
      <c r="M10" s="15" t="str">
        <f t="shared" si="4"/>
        <v>Thursday</v>
      </c>
      <c r="N10" s="15" t="str">
        <f t="shared" si="5"/>
        <v>December</v>
      </c>
      <c r="O10" s="15">
        <f t="shared" si="6"/>
        <v>91</v>
      </c>
      <c r="P10" s="15">
        <f t="shared" si="7"/>
        <v>66</v>
      </c>
      <c r="Q10" s="17">
        <f t="shared" si="8"/>
        <v>79</v>
      </c>
    </row>
    <row r="11" spans="1:17" x14ac:dyDescent="0.3">
      <c r="A11" s="5" t="s">
        <v>117</v>
      </c>
      <c r="B11" s="3" t="s">
        <v>11</v>
      </c>
      <c r="C11" s="30">
        <v>44123</v>
      </c>
      <c r="D11" s="30">
        <v>35512</v>
      </c>
      <c r="E11" s="30">
        <v>46266</v>
      </c>
      <c r="F11" s="31">
        <v>46356</v>
      </c>
      <c r="G11" s="29"/>
      <c r="H11" s="41">
        <v>45024</v>
      </c>
      <c r="I11" s="15">
        <f t="shared" si="0"/>
        <v>8</v>
      </c>
      <c r="J11" s="15">
        <f t="shared" si="1"/>
        <v>4</v>
      </c>
      <c r="K11" s="15">
        <f t="shared" si="2"/>
        <v>2023</v>
      </c>
      <c r="L11" s="38">
        <f t="shared" si="3"/>
        <v>45024</v>
      </c>
      <c r="M11" s="15" t="str">
        <f t="shared" si="4"/>
        <v>Saturday</v>
      </c>
      <c r="N11" s="15" t="str">
        <f t="shared" si="5"/>
        <v>April</v>
      </c>
      <c r="O11" s="15">
        <f t="shared" si="6"/>
        <v>61</v>
      </c>
      <c r="P11" s="15">
        <f t="shared" si="7"/>
        <v>45</v>
      </c>
      <c r="Q11" s="17">
        <f t="shared" si="8"/>
        <v>54</v>
      </c>
    </row>
    <row r="12" spans="1:17" ht="15" thickBot="1" x14ac:dyDescent="0.35">
      <c r="A12" s="5" t="s">
        <v>118</v>
      </c>
      <c r="B12" s="3" t="s">
        <v>14</v>
      </c>
      <c r="C12" s="30">
        <v>44568</v>
      </c>
      <c r="D12" s="30">
        <v>36328</v>
      </c>
      <c r="E12" s="30">
        <v>46300</v>
      </c>
      <c r="F12" s="31">
        <v>46361</v>
      </c>
      <c r="G12" s="29"/>
      <c r="H12" s="42">
        <v>44123</v>
      </c>
      <c r="I12" s="19">
        <f t="shared" si="0"/>
        <v>19</v>
      </c>
      <c r="J12" s="19">
        <f t="shared" si="1"/>
        <v>10</v>
      </c>
      <c r="K12" s="19">
        <f t="shared" si="2"/>
        <v>2020</v>
      </c>
      <c r="L12" s="43">
        <f t="shared" si="3"/>
        <v>44123</v>
      </c>
      <c r="M12" s="19" t="str">
        <f t="shared" si="4"/>
        <v>Monday</v>
      </c>
      <c r="N12" s="19" t="str">
        <f t="shared" si="5"/>
        <v>October</v>
      </c>
      <c r="O12" s="19">
        <f t="shared" si="6"/>
        <v>90</v>
      </c>
      <c r="P12" s="19">
        <f t="shared" si="7"/>
        <v>65</v>
      </c>
      <c r="Q12" s="21">
        <f t="shared" si="8"/>
        <v>78</v>
      </c>
    </row>
    <row r="13" spans="1:17" x14ac:dyDescent="0.3">
      <c r="A13" s="5" t="s">
        <v>119</v>
      </c>
      <c r="B13" s="3" t="s">
        <v>15</v>
      </c>
      <c r="C13" s="30">
        <v>44332</v>
      </c>
      <c r="D13" s="30">
        <v>36158</v>
      </c>
      <c r="E13" s="30">
        <v>46341</v>
      </c>
      <c r="F13" s="31">
        <v>46402</v>
      </c>
      <c r="G13" s="29"/>
    </row>
    <row r="14" spans="1:17" x14ac:dyDescent="0.3">
      <c r="A14" s="5" t="s">
        <v>120</v>
      </c>
      <c r="B14" s="3" t="s">
        <v>26</v>
      </c>
      <c r="C14" s="30">
        <v>45166</v>
      </c>
      <c r="D14" s="30">
        <v>36989</v>
      </c>
      <c r="E14" s="30">
        <v>46357</v>
      </c>
      <c r="F14" s="31">
        <v>46446</v>
      </c>
      <c r="G14" s="29"/>
    </row>
    <row r="15" spans="1:17" x14ac:dyDescent="0.3">
      <c r="A15" s="5" t="s">
        <v>121</v>
      </c>
      <c r="B15" s="3" t="s">
        <v>17</v>
      </c>
      <c r="C15" s="30">
        <v>43893</v>
      </c>
      <c r="D15" s="30">
        <v>35354</v>
      </c>
      <c r="E15" s="30">
        <v>46397</v>
      </c>
      <c r="F15" s="31">
        <v>46456</v>
      </c>
      <c r="G15" s="29"/>
    </row>
    <row r="16" spans="1:17" ht="15" thickBot="1" x14ac:dyDescent="0.35">
      <c r="A16" s="6" t="s">
        <v>122</v>
      </c>
      <c r="B16" s="7" t="s">
        <v>22</v>
      </c>
      <c r="C16" s="32">
        <v>44906</v>
      </c>
      <c r="D16" s="32">
        <v>36338</v>
      </c>
      <c r="E16" s="32">
        <v>46438</v>
      </c>
      <c r="F16" s="33">
        <v>46497</v>
      </c>
      <c r="G16" s="29"/>
    </row>
    <row r="17" spans="1:7" x14ac:dyDescent="0.3">
      <c r="A17" s="29"/>
      <c r="B17" s="2"/>
      <c r="D17" s="29"/>
      <c r="E17" s="29"/>
      <c r="F17" s="2"/>
      <c r="G17" s="29"/>
    </row>
    <row r="18" spans="1:7" x14ac:dyDescent="0.3">
      <c r="A18" s="29"/>
      <c r="B18" s="2"/>
      <c r="D18" s="29"/>
      <c r="E18" s="29"/>
      <c r="F18" s="2"/>
      <c r="G18" s="29"/>
    </row>
    <row r="19" spans="1:7" x14ac:dyDescent="0.3">
      <c r="A19" s="44" t="s">
        <v>102</v>
      </c>
      <c r="B19" s="44" t="s">
        <v>103</v>
      </c>
      <c r="C19" s="44" t="s">
        <v>104</v>
      </c>
      <c r="D19" s="45" t="s">
        <v>134</v>
      </c>
      <c r="E19" s="46" t="s">
        <v>135</v>
      </c>
      <c r="F19" s="2"/>
      <c r="G19" s="29"/>
    </row>
    <row r="20" spans="1:7" x14ac:dyDescent="0.3">
      <c r="A20" s="3" t="s">
        <v>108</v>
      </c>
      <c r="B20" s="3" t="s">
        <v>6</v>
      </c>
      <c r="C20" s="30">
        <v>44576</v>
      </c>
      <c r="D20" s="47">
        <f>WORKDAY(C20,P3)</f>
        <v>44603</v>
      </c>
      <c r="E20" s="47">
        <f>WORKDAY.INTL(C20,P3,11)</f>
        <v>44600</v>
      </c>
      <c r="F20" s="2"/>
      <c r="G20" s="29"/>
    </row>
    <row r="21" spans="1:7" x14ac:dyDescent="0.3">
      <c r="A21" s="3" t="s">
        <v>109</v>
      </c>
      <c r="B21" s="3" t="s">
        <v>4</v>
      </c>
      <c r="C21" s="30">
        <v>44277</v>
      </c>
      <c r="D21" s="47">
        <f t="shared" ref="D21:D34" si="9">WORKDAY(C21,P4)</f>
        <v>44368</v>
      </c>
      <c r="E21" s="47">
        <f t="shared" ref="E21:E34" si="10">WORKDAY.INTL(C21,P4,11)</f>
        <v>44352</v>
      </c>
      <c r="F21" s="2"/>
      <c r="G21" s="29"/>
    </row>
    <row r="22" spans="1:7" x14ac:dyDescent="0.3">
      <c r="A22" s="3" t="s">
        <v>110</v>
      </c>
      <c r="B22" s="3" t="s">
        <v>2</v>
      </c>
      <c r="C22" s="30">
        <v>45087</v>
      </c>
      <c r="D22" s="47">
        <f t="shared" si="9"/>
        <v>45177</v>
      </c>
      <c r="E22" s="47">
        <f t="shared" si="10"/>
        <v>45163</v>
      </c>
      <c r="F22" s="2"/>
      <c r="G22" s="29"/>
    </row>
    <row r="23" spans="1:7" x14ac:dyDescent="0.3">
      <c r="A23" s="3" t="s">
        <v>111</v>
      </c>
      <c r="B23" s="3" t="s">
        <v>7</v>
      </c>
      <c r="C23" s="30">
        <v>44079</v>
      </c>
      <c r="D23" s="47">
        <f t="shared" si="9"/>
        <v>44109</v>
      </c>
      <c r="E23" s="47">
        <f t="shared" si="10"/>
        <v>44104</v>
      </c>
      <c r="F23" s="2"/>
      <c r="G23" s="29"/>
    </row>
    <row r="24" spans="1:7" x14ac:dyDescent="0.3">
      <c r="A24" s="3" t="s">
        <v>112</v>
      </c>
      <c r="B24" s="3" t="s">
        <v>8</v>
      </c>
      <c r="C24" s="30">
        <v>44883</v>
      </c>
      <c r="D24" s="47">
        <f t="shared" si="9"/>
        <v>44946</v>
      </c>
      <c r="E24" s="47">
        <f t="shared" si="10"/>
        <v>44936</v>
      </c>
      <c r="F24" s="2"/>
      <c r="G24" s="29"/>
    </row>
    <row r="25" spans="1:7" x14ac:dyDescent="0.3">
      <c r="A25" s="3" t="s">
        <v>113</v>
      </c>
      <c r="B25" s="3" t="s">
        <v>9</v>
      </c>
      <c r="C25" s="30">
        <v>45334</v>
      </c>
      <c r="D25" s="47">
        <f t="shared" si="9"/>
        <v>45394</v>
      </c>
      <c r="E25" s="47">
        <f t="shared" si="10"/>
        <v>45385</v>
      </c>
      <c r="F25" s="2"/>
      <c r="G25" s="29"/>
    </row>
    <row r="26" spans="1:7" x14ac:dyDescent="0.3">
      <c r="A26" s="3" t="s">
        <v>114</v>
      </c>
      <c r="B26" s="3" t="s">
        <v>10</v>
      </c>
      <c r="C26" s="30">
        <v>43671</v>
      </c>
      <c r="D26" s="47">
        <f t="shared" si="9"/>
        <v>43734</v>
      </c>
      <c r="E26" s="47">
        <f t="shared" si="10"/>
        <v>43724</v>
      </c>
      <c r="F26" s="2"/>
      <c r="G26" s="29"/>
    </row>
    <row r="27" spans="1:7" x14ac:dyDescent="0.3">
      <c r="A27" s="3" t="s">
        <v>115</v>
      </c>
      <c r="B27" s="3" t="s">
        <v>13</v>
      </c>
      <c r="C27" s="30">
        <v>44560</v>
      </c>
      <c r="D27" s="47">
        <f t="shared" si="9"/>
        <v>44652</v>
      </c>
      <c r="E27" s="47">
        <f t="shared" si="10"/>
        <v>44637</v>
      </c>
      <c r="F27" s="2"/>
      <c r="G27" s="29"/>
    </row>
    <row r="28" spans="1:7" x14ac:dyDescent="0.3">
      <c r="A28" s="3" t="s">
        <v>116</v>
      </c>
      <c r="B28" s="3" t="s">
        <v>12</v>
      </c>
      <c r="C28" s="30">
        <v>45024</v>
      </c>
      <c r="D28" s="47">
        <f t="shared" si="9"/>
        <v>45086</v>
      </c>
      <c r="E28" s="47">
        <f t="shared" si="10"/>
        <v>45077</v>
      </c>
      <c r="F28" s="2"/>
      <c r="G28" s="29"/>
    </row>
    <row r="29" spans="1:7" x14ac:dyDescent="0.3">
      <c r="A29" s="3" t="s">
        <v>117</v>
      </c>
      <c r="B29" s="3" t="s">
        <v>11</v>
      </c>
      <c r="C29" s="30">
        <v>44123</v>
      </c>
      <c r="D29" s="47">
        <f t="shared" si="9"/>
        <v>44214</v>
      </c>
      <c r="E29" s="47">
        <f t="shared" si="10"/>
        <v>44198</v>
      </c>
      <c r="F29" s="2"/>
      <c r="G29" s="29"/>
    </row>
    <row r="30" spans="1:7" x14ac:dyDescent="0.3">
      <c r="A30" s="3" t="s">
        <v>118</v>
      </c>
      <c r="B30" s="3" t="s">
        <v>14</v>
      </c>
      <c r="C30" s="30">
        <v>44568</v>
      </c>
      <c r="D30" s="47">
        <f t="shared" si="9"/>
        <v>44568</v>
      </c>
      <c r="E30" s="47">
        <f t="shared" si="10"/>
        <v>44568</v>
      </c>
      <c r="F30" s="2"/>
      <c r="G30" s="29"/>
    </row>
    <row r="31" spans="1:7" x14ac:dyDescent="0.3">
      <c r="A31" s="3" t="s">
        <v>119</v>
      </c>
      <c r="B31" s="3" t="s">
        <v>15</v>
      </c>
      <c r="C31" s="30">
        <v>44332</v>
      </c>
      <c r="D31" s="47">
        <f t="shared" si="9"/>
        <v>44332</v>
      </c>
      <c r="E31" s="47">
        <f t="shared" si="10"/>
        <v>44332</v>
      </c>
      <c r="F31" s="2"/>
      <c r="G31" s="29"/>
    </row>
    <row r="32" spans="1:7" x14ac:dyDescent="0.3">
      <c r="A32" s="3" t="s">
        <v>120</v>
      </c>
      <c r="B32" s="3" t="s">
        <v>26</v>
      </c>
      <c r="C32" s="30">
        <v>45166</v>
      </c>
      <c r="D32" s="47">
        <f t="shared" si="9"/>
        <v>45166</v>
      </c>
      <c r="E32" s="47">
        <f t="shared" si="10"/>
        <v>45166</v>
      </c>
    </row>
    <row r="33" spans="1:5" x14ac:dyDescent="0.3">
      <c r="A33" s="3" t="s">
        <v>121</v>
      </c>
      <c r="B33" s="3" t="s">
        <v>17</v>
      </c>
      <c r="C33" s="30">
        <v>43893</v>
      </c>
      <c r="D33" s="47">
        <f t="shared" si="9"/>
        <v>43893</v>
      </c>
      <c r="E33" s="47">
        <f t="shared" si="10"/>
        <v>43893</v>
      </c>
    </row>
    <row r="34" spans="1:5" x14ac:dyDescent="0.3">
      <c r="A34" s="3" t="s">
        <v>122</v>
      </c>
      <c r="B34" s="3" t="s">
        <v>22</v>
      </c>
      <c r="C34" s="30">
        <v>44906</v>
      </c>
      <c r="D34" s="47">
        <f t="shared" si="9"/>
        <v>44906</v>
      </c>
      <c r="E34" s="47">
        <f t="shared" si="10"/>
        <v>44906</v>
      </c>
    </row>
  </sheetData>
  <mergeCells count="3">
    <mergeCell ref="H1:L1"/>
    <mergeCell ref="M1:N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DF68-F41F-4B17-A1BA-A7652C7AFB20}">
  <dimension ref="A1:U16"/>
  <sheetViews>
    <sheetView tabSelected="1" topLeftCell="B1" workbookViewId="0">
      <selection activeCell="L25" sqref="L25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1.109375" bestFit="1" customWidth="1"/>
    <col min="4" max="4" width="7.109375" bestFit="1" customWidth="1"/>
    <col min="5" max="5" width="4.21875" bestFit="1" customWidth="1"/>
    <col min="6" max="6" width="6.109375" bestFit="1" customWidth="1"/>
    <col min="7" max="7" width="10.109375" bestFit="1" customWidth="1"/>
    <col min="8" max="8" width="11.88671875" bestFit="1" customWidth="1"/>
    <col min="9" max="9" width="12.6640625" customWidth="1"/>
    <col min="10" max="11" width="7" bestFit="1" customWidth="1"/>
    <col min="12" max="12" width="9.88671875" bestFit="1" customWidth="1"/>
    <col min="17" max="17" width="18.5546875" customWidth="1"/>
    <col min="20" max="20" width="13.21875" customWidth="1"/>
  </cols>
  <sheetData>
    <row r="1" spans="1:21" x14ac:dyDescent="0.3">
      <c r="A1" s="51" t="s">
        <v>136</v>
      </c>
      <c r="B1" s="52" t="s">
        <v>137</v>
      </c>
      <c r="C1" s="52" t="s">
        <v>138</v>
      </c>
      <c r="D1" s="52" t="s">
        <v>0</v>
      </c>
      <c r="E1" s="52" t="s">
        <v>1</v>
      </c>
      <c r="F1" s="52" t="s">
        <v>139</v>
      </c>
      <c r="G1" s="52" t="s">
        <v>140</v>
      </c>
      <c r="H1" s="52" t="s">
        <v>141</v>
      </c>
      <c r="I1" s="52" t="s">
        <v>41</v>
      </c>
      <c r="J1" s="52" t="s">
        <v>142</v>
      </c>
      <c r="K1" s="52" t="s">
        <v>143</v>
      </c>
      <c r="L1" s="52" t="s">
        <v>151</v>
      </c>
      <c r="M1" s="52" t="s">
        <v>154</v>
      </c>
      <c r="N1" s="52" t="s">
        <v>152</v>
      </c>
      <c r="O1" s="53" t="s">
        <v>153</v>
      </c>
      <c r="P1" s="1"/>
      <c r="Q1" s="54" t="s">
        <v>137</v>
      </c>
      <c r="R1" s="54" t="s">
        <v>178</v>
      </c>
      <c r="T1" s="54" t="s">
        <v>137</v>
      </c>
      <c r="U1" s="55" t="s">
        <v>179</v>
      </c>
    </row>
    <row r="2" spans="1:21" x14ac:dyDescent="0.3">
      <c r="A2" s="5" t="s">
        <v>108</v>
      </c>
      <c r="B2" s="3" t="s">
        <v>6</v>
      </c>
      <c r="C2" s="3" t="s">
        <v>142</v>
      </c>
      <c r="D2" s="3" t="s">
        <v>3</v>
      </c>
      <c r="E2" s="3">
        <v>25</v>
      </c>
      <c r="F2" s="3">
        <v>32000</v>
      </c>
      <c r="G2" s="3">
        <v>2</v>
      </c>
      <c r="H2" s="3" t="s">
        <v>144</v>
      </c>
      <c r="I2" s="3">
        <v>92</v>
      </c>
      <c r="J2" s="3">
        <v>85000</v>
      </c>
      <c r="K2" s="3">
        <v>80000</v>
      </c>
      <c r="L2" s="15" t="str">
        <f>IF(F2&gt;50000,"High Salary","Low Salary")</f>
        <v>Low Salary</v>
      </c>
      <c r="M2" s="15" t="str">
        <f>IF(AND(F2&gt;30000,J2&gt;100000),"Bonus","No Bonus")</f>
        <v>No Bonus</v>
      </c>
      <c r="N2" s="15" t="b">
        <f>AND(F2&gt;30000,J3&gt;100000)</f>
        <v>0</v>
      </c>
      <c r="O2" s="17" t="b">
        <f>OR(F2&gt;30000,J2&gt;100000)</f>
        <v>1</v>
      </c>
      <c r="Q2" s="3" t="s">
        <v>6</v>
      </c>
      <c r="R2" s="22">
        <f>SUMIF($B$2:$B$16,Q2,J2:J16)</f>
        <v>85000</v>
      </c>
      <c r="T2" s="3" t="s">
        <v>6</v>
      </c>
      <c r="U2">
        <f>COUNTIF($B$2:$B$16,T2)</f>
        <v>1</v>
      </c>
    </row>
    <row r="3" spans="1:21" x14ac:dyDescent="0.3">
      <c r="A3" s="5" t="s">
        <v>109</v>
      </c>
      <c r="B3" s="3" t="s">
        <v>4</v>
      </c>
      <c r="C3" s="3" t="s">
        <v>145</v>
      </c>
      <c r="D3" s="3" t="s">
        <v>5</v>
      </c>
      <c r="E3" s="3">
        <v>29</v>
      </c>
      <c r="F3" s="3">
        <v>45000</v>
      </c>
      <c r="G3" s="3">
        <v>5</v>
      </c>
      <c r="H3" s="3" t="s">
        <v>146</v>
      </c>
      <c r="I3" s="3">
        <v>96</v>
      </c>
      <c r="J3" s="3">
        <v>0</v>
      </c>
      <c r="K3" s="3">
        <v>0</v>
      </c>
      <c r="L3" s="15" t="str">
        <f t="shared" ref="L3:L16" si="0">IF(F3&gt;50000,"High Salary","Low Salary")</f>
        <v>Low Salary</v>
      </c>
      <c r="M3" s="15" t="str">
        <f t="shared" ref="M3:M16" si="1">IF(AND(F3&gt;30000,J3&gt;100000),"Bonus","No Bonus")</f>
        <v>No Bonus</v>
      </c>
      <c r="N3" s="15" t="b">
        <f t="shared" ref="N3:N16" si="2">AND(F3&gt;30000,J4&gt;100000)</f>
        <v>1</v>
      </c>
      <c r="O3" s="17" t="b">
        <f t="shared" ref="O3:O16" si="3">OR(F3&gt;30000,J3&gt;100000)</f>
        <v>1</v>
      </c>
      <c r="Q3" s="3" t="s">
        <v>4</v>
      </c>
      <c r="R3" s="22">
        <f t="shared" ref="R3:R12" si="4">SUMIF($B$2:$B$16,Q3,J3:J17)</f>
        <v>125000</v>
      </c>
      <c r="T3" s="3" t="s">
        <v>4</v>
      </c>
      <c r="U3">
        <f t="shared" ref="U3:U12" si="5">COUNTIF($B$2:$B$16,T3)</f>
        <v>1</v>
      </c>
    </row>
    <row r="4" spans="1:21" x14ac:dyDescent="0.3">
      <c r="A4" s="5" t="s">
        <v>110</v>
      </c>
      <c r="B4" s="3" t="s">
        <v>2</v>
      </c>
      <c r="C4" s="3" t="s">
        <v>142</v>
      </c>
      <c r="D4" s="3" t="s">
        <v>3</v>
      </c>
      <c r="E4" s="3">
        <v>34</v>
      </c>
      <c r="F4" s="3">
        <v>58000</v>
      </c>
      <c r="G4" s="3">
        <v>8</v>
      </c>
      <c r="H4" s="3" t="s">
        <v>146</v>
      </c>
      <c r="I4" s="3">
        <v>89</v>
      </c>
      <c r="J4" s="3">
        <v>125000</v>
      </c>
      <c r="K4" s="3">
        <v>120000</v>
      </c>
      <c r="L4" s="15" t="str">
        <f t="shared" si="0"/>
        <v>High Salary</v>
      </c>
      <c r="M4" s="15" t="str">
        <f t="shared" si="1"/>
        <v>Bonus</v>
      </c>
      <c r="N4" s="15" t="b">
        <f t="shared" si="2"/>
        <v>0</v>
      </c>
      <c r="O4" s="17" t="b">
        <f t="shared" si="3"/>
        <v>1</v>
      </c>
      <c r="Q4" s="3" t="s">
        <v>2</v>
      </c>
      <c r="R4" s="22">
        <f t="shared" si="4"/>
        <v>150000</v>
      </c>
      <c r="T4" s="3" t="s">
        <v>2</v>
      </c>
      <c r="U4">
        <f t="shared" si="5"/>
        <v>1</v>
      </c>
    </row>
    <row r="5" spans="1:21" x14ac:dyDescent="0.3">
      <c r="A5" s="5" t="s">
        <v>111</v>
      </c>
      <c r="B5" s="3" t="s">
        <v>7</v>
      </c>
      <c r="C5" s="3" t="s">
        <v>147</v>
      </c>
      <c r="D5" s="3" t="s">
        <v>5</v>
      </c>
      <c r="E5" s="3">
        <v>27</v>
      </c>
      <c r="F5" s="3">
        <v>40000</v>
      </c>
      <c r="G5" s="3">
        <v>3</v>
      </c>
      <c r="H5" s="3" t="s">
        <v>148</v>
      </c>
      <c r="I5" s="3">
        <v>85</v>
      </c>
      <c r="J5" s="3">
        <v>0</v>
      </c>
      <c r="K5" s="3">
        <v>0</v>
      </c>
      <c r="L5" s="15" t="str">
        <f t="shared" si="0"/>
        <v>Low Salary</v>
      </c>
      <c r="M5" s="15" t="str">
        <f t="shared" si="1"/>
        <v>No Bonus</v>
      </c>
      <c r="N5" s="15" t="b">
        <f t="shared" si="2"/>
        <v>1</v>
      </c>
      <c r="O5" s="17" t="b">
        <f t="shared" si="3"/>
        <v>1</v>
      </c>
      <c r="Q5" s="3" t="s">
        <v>7</v>
      </c>
      <c r="R5" s="22">
        <f t="shared" si="4"/>
        <v>70000</v>
      </c>
      <c r="T5" s="3" t="s">
        <v>7</v>
      </c>
      <c r="U5">
        <f t="shared" si="5"/>
        <v>1</v>
      </c>
    </row>
    <row r="6" spans="1:21" x14ac:dyDescent="0.3">
      <c r="A6" s="5" t="s">
        <v>112</v>
      </c>
      <c r="B6" s="3" t="s">
        <v>8</v>
      </c>
      <c r="C6" s="3" t="s">
        <v>142</v>
      </c>
      <c r="D6" s="3" t="s">
        <v>3</v>
      </c>
      <c r="E6" s="3">
        <v>41</v>
      </c>
      <c r="F6" s="3">
        <v>72000</v>
      </c>
      <c r="G6" s="3">
        <v>12</v>
      </c>
      <c r="H6" s="3" t="s">
        <v>144</v>
      </c>
      <c r="I6" s="3">
        <v>94</v>
      </c>
      <c r="J6" s="3">
        <v>150000</v>
      </c>
      <c r="K6" s="3">
        <v>160000</v>
      </c>
      <c r="L6" s="15" t="str">
        <f t="shared" si="0"/>
        <v>High Salary</v>
      </c>
      <c r="M6" s="15" t="str">
        <f t="shared" si="1"/>
        <v>Bonus</v>
      </c>
      <c r="N6" s="15" t="b">
        <f t="shared" si="2"/>
        <v>0</v>
      </c>
      <c r="O6" s="17" t="b">
        <f t="shared" si="3"/>
        <v>1</v>
      </c>
      <c r="Q6" s="3" t="s">
        <v>8</v>
      </c>
      <c r="R6" s="22">
        <f t="shared" si="4"/>
        <v>110000</v>
      </c>
      <c r="T6" s="3" t="s">
        <v>8</v>
      </c>
      <c r="U6">
        <f t="shared" si="5"/>
        <v>1</v>
      </c>
    </row>
    <row r="7" spans="1:21" x14ac:dyDescent="0.3">
      <c r="A7" s="5" t="s">
        <v>113</v>
      </c>
      <c r="B7" s="3" t="s">
        <v>9</v>
      </c>
      <c r="C7" s="3" t="s">
        <v>149</v>
      </c>
      <c r="D7" s="3" t="s">
        <v>5</v>
      </c>
      <c r="E7" s="3">
        <v>24</v>
      </c>
      <c r="F7" s="3">
        <v>38000</v>
      </c>
      <c r="G7" s="3">
        <v>1</v>
      </c>
      <c r="H7" s="3" t="s">
        <v>144</v>
      </c>
      <c r="I7" s="3">
        <v>91</v>
      </c>
      <c r="J7" s="3">
        <v>0</v>
      </c>
      <c r="K7" s="3">
        <v>0</v>
      </c>
      <c r="L7" s="15" t="str">
        <f t="shared" si="0"/>
        <v>Low Salary</v>
      </c>
      <c r="M7" s="15" t="str">
        <f t="shared" si="1"/>
        <v>No Bonus</v>
      </c>
      <c r="N7" s="15" t="b">
        <f t="shared" si="2"/>
        <v>0</v>
      </c>
      <c r="O7" s="17" t="b">
        <f t="shared" si="3"/>
        <v>1</v>
      </c>
      <c r="Q7" s="3" t="s">
        <v>9</v>
      </c>
      <c r="R7" s="22">
        <f t="shared" si="4"/>
        <v>180000</v>
      </c>
      <c r="T7" s="3" t="s">
        <v>9</v>
      </c>
      <c r="U7">
        <f t="shared" si="5"/>
        <v>1</v>
      </c>
    </row>
    <row r="8" spans="1:21" x14ac:dyDescent="0.3">
      <c r="A8" s="5" t="s">
        <v>114</v>
      </c>
      <c r="B8" s="3" t="s">
        <v>10</v>
      </c>
      <c r="C8" s="3" t="s">
        <v>142</v>
      </c>
      <c r="D8" s="3" t="s">
        <v>3</v>
      </c>
      <c r="E8" s="3">
        <v>31</v>
      </c>
      <c r="F8" s="3">
        <v>52000</v>
      </c>
      <c r="G8" s="3">
        <v>6</v>
      </c>
      <c r="H8" s="3" t="s">
        <v>150</v>
      </c>
      <c r="I8" s="3">
        <v>78</v>
      </c>
      <c r="J8" s="3">
        <v>70000</v>
      </c>
      <c r="K8" s="3">
        <v>90000</v>
      </c>
      <c r="L8" s="15" t="str">
        <f t="shared" si="0"/>
        <v>High Salary</v>
      </c>
      <c r="M8" s="15" t="str">
        <f t="shared" si="1"/>
        <v>No Bonus</v>
      </c>
      <c r="N8" s="15" t="b">
        <f t="shared" si="2"/>
        <v>0</v>
      </c>
      <c r="O8" s="17" t="b">
        <f t="shared" si="3"/>
        <v>1</v>
      </c>
      <c r="Q8" s="3" t="s">
        <v>13</v>
      </c>
      <c r="R8" s="22">
        <f t="shared" si="4"/>
        <v>0</v>
      </c>
      <c r="T8" s="3" t="s">
        <v>13</v>
      </c>
      <c r="U8">
        <f t="shared" si="5"/>
        <v>1</v>
      </c>
    </row>
    <row r="9" spans="1:21" x14ac:dyDescent="0.3">
      <c r="A9" s="5" t="s">
        <v>115</v>
      </c>
      <c r="B9" s="3" t="s">
        <v>13</v>
      </c>
      <c r="C9" s="3" t="s">
        <v>147</v>
      </c>
      <c r="D9" s="3" t="s">
        <v>5</v>
      </c>
      <c r="E9" s="3">
        <v>36</v>
      </c>
      <c r="F9" s="3">
        <v>65000</v>
      </c>
      <c r="G9" s="3">
        <v>10</v>
      </c>
      <c r="H9" s="3" t="s">
        <v>146</v>
      </c>
      <c r="I9" s="3">
        <v>98</v>
      </c>
      <c r="J9" s="3">
        <v>0</v>
      </c>
      <c r="K9" s="3">
        <v>0</v>
      </c>
      <c r="L9" s="15" t="str">
        <f t="shared" si="0"/>
        <v>High Salary</v>
      </c>
      <c r="M9" s="15" t="str">
        <f t="shared" si="1"/>
        <v>No Bonus</v>
      </c>
      <c r="N9" s="15" t="b">
        <f t="shared" si="2"/>
        <v>1</v>
      </c>
      <c r="O9" s="17" t="b">
        <f t="shared" si="3"/>
        <v>1</v>
      </c>
      <c r="Q9" s="3" t="s">
        <v>12</v>
      </c>
      <c r="R9" s="22">
        <f t="shared" si="4"/>
        <v>0</v>
      </c>
      <c r="T9" s="3" t="s">
        <v>12</v>
      </c>
      <c r="U9">
        <f t="shared" si="5"/>
        <v>1</v>
      </c>
    </row>
    <row r="10" spans="1:21" x14ac:dyDescent="0.3">
      <c r="A10" s="5" t="s">
        <v>116</v>
      </c>
      <c r="B10" s="3" t="s">
        <v>12</v>
      </c>
      <c r="C10" s="3" t="s">
        <v>142</v>
      </c>
      <c r="D10" s="3" t="s">
        <v>3</v>
      </c>
      <c r="E10" s="3">
        <v>28</v>
      </c>
      <c r="F10" s="3">
        <v>47000</v>
      </c>
      <c r="G10" s="3">
        <v>4</v>
      </c>
      <c r="H10" s="3" t="s">
        <v>144</v>
      </c>
      <c r="I10" s="3">
        <v>93</v>
      </c>
      <c r="J10" s="3">
        <v>110000</v>
      </c>
      <c r="K10" s="3">
        <v>100000</v>
      </c>
      <c r="L10" s="15" t="str">
        <f t="shared" si="0"/>
        <v>Low Salary</v>
      </c>
      <c r="M10" s="15" t="str">
        <f t="shared" si="1"/>
        <v>Bonus</v>
      </c>
      <c r="N10" s="15" t="b">
        <f t="shared" si="2"/>
        <v>0</v>
      </c>
      <c r="O10" s="17" t="b">
        <f t="shared" si="3"/>
        <v>1</v>
      </c>
      <c r="Q10" s="3" t="s">
        <v>11</v>
      </c>
      <c r="R10" s="22">
        <f t="shared" si="4"/>
        <v>0</v>
      </c>
      <c r="T10" s="3" t="s">
        <v>11</v>
      </c>
      <c r="U10">
        <f t="shared" si="5"/>
        <v>1</v>
      </c>
    </row>
    <row r="11" spans="1:21" x14ac:dyDescent="0.3">
      <c r="A11" s="5" t="s">
        <v>117</v>
      </c>
      <c r="B11" s="3" t="s">
        <v>11</v>
      </c>
      <c r="C11" s="3" t="s">
        <v>145</v>
      </c>
      <c r="D11" s="3" t="s">
        <v>5</v>
      </c>
      <c r="E11" s="3">
        <v>33</v>
      </c>
      <c r="F11" s="3">
        <v>55000</v>
      </c>
      <c r="G11" s="3">
        <v>7</v>
      </c>
      <c r="H11" s="3" t="s">
        <v>148</v>
      </c>
      <c r="I11" s="3">
        <v>88</v>
      </c>
      <c r="J11" s="3">
        <v>0</v>
      </c>
      <c r="K11" s="3">
        <v>0</v>
      </c>
      <c r="L11" s="15" t="str">
        <f t="shared" si="0"/>
        <v>High Salary</v>
      </c>
      <c r="M11" s="15" t="str">
        <f t="shared" si="1"/>
        <v>No Bonus</v>
      </c>
      <c r="N11" s="15" t="b">
        <f t="shared" si="2"/>
        <v>1</v>
      </c>
      <c r="O11" s="17" t="b">
        <f t="shared" si="3"/>
        <v>1</v>
      </c>
      <c r="Q11" s="3" t="s">
        <v>156</v>
      </c>
      <c r="R11" s="22">
        <f t="shared" si="4"/>
        <v>0</v>
      </c>
      <c r="T11" s="3" t="s">
        <v>156</v>
      </c>
      <c r="U11">
        <f t="shared" si="5"/>
        <v>1</v>
      </c>
    </row>
    <row r="12" spans="1:21" x14ac:dyDescent="0.3">
      <c r="A12" s="5" t="s">
        <v>118</v>
      </c>
      <c r="B12" s="3" t="s">
        <v>14</v>
      </c>
      <c r="C12" s="3" t="s">
        <v>142</v>
      </c>
      <c r="D12" s="3" t="s">
        <v>3</v>
      </c>
      <c r="E12" s="3">
        <v>45</v>
      </c>
      <c r="F12" s="3">
        <v>80000</v>
      </c>
      <c r="G12" s="3">
        <v>15</v>
      </c>
      <c r="H12" s="3" t="s">
        <v>146</v>
      </c>
      <c r="I12" s="3">
        <v>97</v>
      </c>
      <c r="J12" s="3">
        <v>180000</v>
      </c>
      <c r="K12" s="3">
        <v>170000</v>
      </c>
      <c r="L12" s="15" t="str">
        <f t="shared" si="0"/>
        <v>High Salary</v>
      </c>
      <c r="M12" s="15" t="str">
        <f t="shared" si="1"/>
        <v>Bonus</v>
      </c>
      <c r="N12" s="15" t="b">
        <f t="shared" si="2"/>
        <v>0</v>
      </c>
      <c r="O12" s="17" t="b">
        <f t="shared" si="3"/>
        <v>1</v>
      </c>
      <c r="Q12" s="3" t="s">
        <v>22</v>
      </c>
      <c r="R12" s="22">
        <f t="shared" si="4"/>
        <v>0</v>
      </c>
      <c r="T12" s="3" t="s">
        <v>22</v>
      </c>
      <c r="U12">
        <f t="shared" si="5"/>
        <v>2</v>
      </c>
    </row>
    <row r="13" spans="1:21" x14ac:dyDescent="0.3">
      <c r="A13" s="5" t="s">
        <v>119</v>
      </c>
      <c r="B13" s="3" t="s">
        <v>155</v>
      </c>
      <c r="C13" s="3" t="s">
        <v>149</v>
      </c>
      <c r="D13" s="3" t="s">
        <v>5</v>
      </c>
      <c r="E13" s="3">
        <v>26</v>
      </c>
      <c r="F13" s="3">
        <v>42000</v>
      </c>
      <c r="G13" s="3">
        <v>2</v>
      </c>
      <c r="H13" s="3" t="s">
        <v>144</v>
      </c>
      <c r="I13" s="3">
        <v>90</v>
      </c>
      <c r="J13" s="3">
        <v>0</v>
      </c>
      <c r="K13" s="3">
        <v>0</v>
      </c>
      <c r="L13" s="15" t="str">
        <f t="shared" si="0"/>
        <v>Low Salary</v>
      </c>
      <c r="M13" s="15" t="str">
        <f t="shared" si="1"/>
        <v>No Bonus</v>
      </c>
      <c r="N13" s="15" t="b">
        <f t="shared" si="2"/>
        <v>0</v>
      </c>
      <c r="O13" s="17" t="b">
        <f t="shared" si="3"/>
        <v>1</v>
      </c>
    </row>
    <row r="14" spans="1:21" x14ac:dyDescent="0.3">
      <c r="A14" s="5" t="s">
        <v>120</v>
      </c>
      <c r="B14" s="3" t="s">
        <v>156</v>
      </c>
      <c r="C14" s="3" t="s">
        <v>142</v>
      </c>
      <c r="D14" s="3" t="s">
        <v>3</v>
      </c>
      <c r="E14" s="3">
        <v>30</v>
      </c>
      <c r="F14" s="3">
        <v>50000</v>
      </c>
      <c r="G14" s="3">
        <v>5</v>
      </c>
      <c r="H14" s="3" t="s">
        <v>148</v>
      </c>
      <c r="I14" s="3">
        <v>84</v>
      </c>
      <c r="J14" s="3">
        <v>95000</v>
      </c>
      <c r="K14" s="3">
        <v>100000</v>
      </c>
      <c r="L14" s="15" t="str">
        <f t="shared" si="0"/>
        <v>Low Salary</v>
      </c>
      <c r="M14" s="15" t="str">
        <f t="shared" si="1"/>
        <v>No Bonus</v>
      </c>
      <c r="N14" s="15" t="b">
        <f t="shared" si="2"/>
        <v>0</v>
      </c>
      <c r="O14" s="17" t="b">
        <f t="shared" si="3"/>
        <v>1</v>
      </c>
    </row>
    <row r="15" spans="1:21" x14ac:dyDescent="0.3">
      <c r="A15" s="5" t="s">
        <v>121</v>
      </c>
      <c r="B15" s="3" t="s">
        <v>22</v>
      </c>
      <c r="C15" s="3" t="s">
        <v>147</v>
      </c>
      <c r="D15" s="3" t="s">
        <v>5</v>
      </c>
      <c r="E15" s="3">
        <v>39</v>
      </c>
      <c r="F15" s="3">
        <v>68000</v>
      </c>
      <c r="G15" s="3">
        <v>11</v>
      </c>
      <c r="H15" s="3" t="s">
        <v>144</v>
      </c>
      <c r="I15" s="3">
        <v>95</v>
      </c>
      <c r="J15" s="3">
        <v>0</v>
      </c>
      <c r="K15" s="3">
        <v>0</v>
      </c>
      <c r="L15" s="15" t="str">
        <f t="shared" si="0"/>
        <v>High Salary</v>
      </c>
      <c r="M15" s="15" t="str">
        <f t="shared" si="1"/>
        <v>No Bonus</v>
      </c>
      <c r="N15" s="15" t="b">
        <f t="shared" si="2"/>
        <v>0</v>
      </c>
      <c r="O15" s="17" t="b">
        <f t="shared" si="3"/>
        <v>1</v>
      </c>
    </row>
    <row r="16" spans="1:21" ht="15" thickBot="1" x14ac:dyDescent="0.35">
      <c r="A16" s="6" t="s">
        <v>122</v>
      </c>
      <c r="B16" s="7" t="s">
        <v>22</v>
      </c>
      <c r="C16" s="7" t="s">
        <v>142</v>
      </c>
      <c r="D16" s="7" t="s">
        <v>3</v>
      </c>
      <c r="E16" s="7">
        <v>23</v>
      </c>
      <c r="F16" s="7">
        <v>30000</v>
      </c>
      <c r="G16" s="7">
        <v>1</v>
      </c>
      <c r="H16" s="7" t="s">
        <v>150</v>
      </c>
      <c r="I16" s="7">
        <v>76</v>
      </c>
      <c r="J16" s="7">
        <v>60000</v>
      </c>
      <c r="K16" s="7">
        <v>75000</v>
      </c>
      <c r="L16" s="19" t="str">
        <f t="shared" si="0"/>
        <v>Low Salary</v>
      </c>
      <c r="M16" s="19" t="str">
        <f t="shared" si="1"/>
        <v>No Bonus</v>
      </c>
      <c r="N16" s="19" t="b">
        <f t="shared" si="2"/>
        <v>0</v>
      </c>
      <c r="O16" s="21" t="b">
        <f t="shared" si="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B748-5E36-4995-865F-6DB877D3AE75}">
  <dimension ref="A1:K18"/>
  <sheetViews>
    <sheetView workbookViewId="0">
      <selection activeCell="P24" sqref="P24"/>
    </sheetView>
  </sheetViews>
  <sheetFormatPr defaultRowHeight="14.4" x14ac:dyDescent="0.3"/>
  <cols>
    <col min="1" max="1" width="8.88671875" customWidth="1"/>
    <col min="2" max="2" width="16.6640625" customWidth="1"/>
    <col min="3" max="3" width="13" customWidth="1"/>
    <col min="4" max="4" width="10.109375" customWidth="1"/>
    <col min="5" max="5" width="8" customWidth="1"/>
    <col min="6" max="6" width="12" customWidth="1"/>
    <col min="7" max="7" width="7.88671875" customWidth="1"/>
    <col min="10" max="10" width="7" bestFit="1" customWidth="1"/>
    <col min="11" max="11" width="6" bestFit="1" customWidth="1"/>
  </cols>
  <sheetData>
    <row r="1" spans="1:11" x14ac:dyDescent="0.3">
      <c r="A1" s="59" t="s">
        <v>157</v>
      </c>
      <c r="B1" s="60" t="s">
        <v>103</v>
      </c>
      <c r="C1" s="60" t="s">
        <v>138</v>
      </c>
      <c r="D1" s="60" t="s">
        <v>158</v>
      </c>
      <c r="E1" s="60" t="s">
        <v>139</v>
      </c>
      <c r="F1" s="60" t="s">
        <v>140</v>
      </c>
      <c r="G1" s="61" t="s">
        <v>159</v>
      </c>
      <c r="J1" s="56" t="s">
        <v>157</v>
      </c>
      <c r="K1" s="56" t="s">
        <v>180</v>
      </c>
    </row>
    <row r="2" spans="1:11" x14ac:dyDescent="0.3">
      <c r="A2" s="57" t="s">
        <v>160</v>
      </c>
      <c r="B2" s="3" t="s">
        <v>6</v>
      </c>
      <c r="C2" s="3" t="s">
        <v>142</v>
      </c>
      <c r="D2" s="3" t="s">
        <v>58</v>
      </c>
      <c r="E2" s="3">
        <v>35000</v>
      </c>
      <c r="F2" s="3">
        <v>2</v>
      </c>
      <c r="G2" s="58" t="s">
        <v>161</v>
      </c>
      <c r="J2" s="3" t="s">
        <v>160</v>
      </c>
      <c r="K2" s="22">
        <v>35000</v>
      </c>
    </row>
    <row r="3" spans="1:11" x14ac:dyDescent="0.3">
      <c r="A3" s="57" t="s">
        <v>162</v>
      </c>
      <c r="B3" s="3" t="s">
        <v>4</v>
      </c>
      <c r="C3" s="3" t="s">
        <v>145</v>
      </c>
      <c r="D3" s="3" t="s">
        <v>61</v>
      </c>
      <c r="E3" s="3">
        <v>48000</v>
      </c>
      <c r="F3" s="3">
        <v>5</v>
      </c>
      <c r="G3" s="58" t="s">
        <v>52</v>
      </c>
      <c r="J3" s="3" t="s">
        <v>162</v>
      </c>
      <c r="K3" s="22">
        <v>48000</v>
      </c>
    </row>
    <row r="4" spans="1:11" x14ac:dyDescent="0.3">
      <c r="A4" s="57" t="s">
        <v>163</v>
      </c>
      <c r="B4" s="3" t="s">
        <v>2</v>
      </c>
      <c r="C4" s="3" t="s">
        <v>149</v>
      </c>
      <c r="D4" s="3" t="s">
        <v>66</v>
      </c>
      <c r="E4" s="3">
        <v>62000</v>
      </c>
      <c r="F4" s="3">
        <v>7</v>
      </c>
      <c r="G4" s="58" t="s">
        <v>52</v>
      </c>
      <c r="J4" s="3" t="s">
        <v>163</v>
      </c>
      <c r="K4" s="22">
        <v>62000</v>
      </c>
    </row>
    <row r="5" spans="1:11" x14ac:dyDescent="0.3">
      <c r="A5" s="57" t="s">
        <v>164</v>
      </c>
      <c r="B5" s="3" t="s">
        <v>7</v>
      </c>
      <c r="C5" s="3" t="s">
        <v>147</v>
      </c>
      <c r="D5" s="3" t="s">
        <v>58</v>
      </c>
      <c r="E5" s="3">
        <v>45000</v>
      </c>
      <c r="F5" s="3">
        <v>4</v>
      </c>
      <c r="G5" s="58" t="s">
        <v>161</v>
      </c>
      <c r="J5" s="3" t="s">
        <v>164</v>
      </c>
      <c r="K5" s="22">
        <v>45000</v>
      </c>
    </row>
    <row r="6" spans="1:11" x14ac:dyDescent="0.3">
      <c r="A6" s="57" t="s">
        <v>165</v>
      </c>
      <c r="B6" s="3" t="s">
        <v>8</v>
      </c>
      <c r="C6" s="3" t="s">
        <v>142</v>
      </c>
      <c r="D6" s="3" t="s">
        <v>61</v>
      </c>
      <c r="E6" s="3">
        <v>55000</v>
      </c>
      <c r="F6" s="3">
        <v>6</v>
      </c>
      <c r="G6" s="58" t="s">
        <v>52</v>
      </c>
      <c r="J6" s="3" t="s">
        <v>165</v>
      </c>
      <c r="K6" s="22">
        <v>55000</v>
      </c>
    </row>
    <row r="7" spans="1:11" x14ac:dyDescent="0.3">
      <c r="A7" s="57" t="s">
        <v>166</v>
      </c>
      <c r="B7" s="3" t="s">
        <v>9</v>
      </c>
      <c r="C7" s="3" t="s">
        <v>149</v>
      </c>
      <c r="D7" s="3" t="s">
        <v>66</v>
      </c>
      <c r="E7" s="3">
        <v>70000</v>
      </c>
      <c r="F7" s="3">
        <v>9</v>
      </c>
      <c r="G7" s="58" t="s">
        <v>52</v>
      </c>
    </row>
    <row r="8" spans="1:11" x14ac:dyDescent="0.3">
      <c r="A8" s="57" t="s">
        <v>167</v>
      </c>
      <c r="B8" s="3" t="s">
        <v>10</v>
      </c>
      <c r="C8" s="3" t="s">
        <v>168</v>
      </c>
      <c r="D8" s="3" t="s">
        <v>169</v>
      </c>
      <c r="E8" s="3">
        <v>42000</v>
      </c>
      <c r="F8" s="3">
        <v>3</v>
      </c>
      <c r="G8" s="58" t="s">
        <v>161</v>
      </c>
    </row>
    <row r="9" spans="1:11" x14ac:dyDescent="0.3">
      <c r="A9" s="57" t="s">
        <v>170</v>
      </c>
      <c r="B9" s="3" t="s">
        <v>13</v>
      </c>
      <c r="C9" s="3" t="s">
        <v>147</v>
      </c>
      <c r="D9" s="3" t="s">
        <v>61</v>
      </c>
      <c r="E9" s="3">
        <v>68000</v>
      </c>
      <c r="F9" s="3">
        <v>8</v>
      </c>
      <c r="G9" s="58" t="s">
        <v>52</v>
      </c>
    </row>
    <row r="10" spans="1:11" x14ac:dyDescent="0.3">
      <c r="A10" s="57" t="s">
        <v>171</v>
      </c>
      <c r="B10" s="3" t="s">
        <v>12</v>
      </c>
      <c r="C10" s="3" t="s">
        <v>142</v>
      </c>
      <c r="D10" s="3" t="s">
        <v>58</v>
      </c>
      <c r="E10" s="3">
        <v>39000</v>
      </c>
      <c r="F10" s="3">
        <v>2</v>
      </c>
      <c r="G10" s="58" t="s">
        <v>161</v>
      </c>
    </row>
    <row r="11" spans="1:11" x14ac:dyDescent="0.3">
      <c r="A11" s="57" t="s">
        <v>172</v>
      </c>
      <c r="B11" s="3" t="s">
        <v>11</v>
      </c>
      <c r="C11" s="3" t="s">
        <v>145</v>
      </c>
      <c r="D11" s="3" t="s">
        <v>66</v>
      </c>
      <c r="E11" s="3">
        <v>52000</v>
      </c>
      <c r="F11" s="3">
        <v>6</v>
      </c>
      <c r="G11" s="58" t="s">
        <v>52</v>
      </c>
    </row>
    <row r="12" spans="1:11" x14ac:dyDescent="0.3">
      <c r="A12" s="57" t="s">
        <v>173</v>
      </c>
      <c r="B12" s="3" t="s">
        <v>14</v>
      </c>
      <c r="C12" s="3" t="s">
        <v>149</v>
      </c>
      <c r="D12" s="3" t="s">
        <v>61</v>
      </c>
      <c r="E12" s="3">
        <v>78000</v>
      </c>
      <c r="F12" s="3">
        <v>11</v>
      </c>
      <c r="G12" s="58" t="s">
        <v>52</v>
      </c>
    </row>
    <row r="13" spans="1:11" x14ac:dyDescent="0.3">
      <c r="A13" s="57" t="s">
        <v>174</v>
      </c>
      <c r="B13" s="3" t="s">
        <v>15</v>
      </c>
      <c r="C13" s="3" t="s">
        <v>168</v>
      </c>
      <c r="D13" s="3" t="s">
        <v>169</v>
      </c>
      <c r="E13" s="3">
        <v>46000</v>
      </c>
      <c r="F13" s="3">
        <v>4</v>
      </c>
      <c r="G13" s="58" t="s">
        <v>161</v>
      </c>
    </row>
    <row r="14" spans="1:11" x14ac:dyDescent="0.3">
      <c r="A14" s="57" t="s">
        <v>175</v>
      </c>
      <c r="B14" s="3" t="s">
        <v>26</v>
      </c>
      <c r="C14" s="3" t="s">
        <v>142</v>
      </c>
      <c r="D14" s="3" t="s">
        <v>66</v>
      </c>
      <c r="E14" s="3">
        <v>58000</v>
      </c>
      <c r="F14" s="3">
        <v>7</v>
      </c>
      <c r="G14" s="58" t="s">
        <v>52</v>
      </c>
    </row>
    <row r="15" spans="1:11" x14ac:dyDescent="0.3">
      <c r="A15" s="57" t="s">
        <v>176</v>
      </c>
      <c r="B15" s="3" t="s">
        <v>17</v>
      </c>
      <c r="C15" s="3" t="s">
        <v>147</v>
      </c>
      <c r="D15" s="3" t="s">
        <v>58</v>
      </c>
      <c r="E15" s="3">
        <v>61000</v>
      </c>
      <c r="F15" s="3">
        <v>7</v>
      </c>
      <c r="G15" s="58" t="s">
        <v>52</v>
      </c>
    </row>
    <row r="16" spans="1:11" x14ac:dyDescent="0.3">
      <c r="A16" s="62" t="s">
        <v>177</v>
      </c>
      <c r="B16" s="63" t="s">
        <v>22</v>
      </c>
      <c r="C16" s="63" t="s">
        <v>145</v>
      </c>
      <c r="D16" s="63" t="s">
        <v>61</v>
      </c>
      <c r="E16" s="63">
        <v>43000</v>
      </c>
      <c r="F16" s="63">
        <v>3</v>
      </c>
      <c r="G16" s="64" t="s">
        <v>161</v>
      </c>
    </row>
    <row r="17" spans="1:7" x14ac:dyDescent="0.3">
      <c r="A17" s="62" t="s">
        <v>182</v>
      </c>
      <c r="B17" s="63" t="s">
        <v>183</v>
      </c>
      <c r="C17" s="63" t="s">
        <v>145</v>
      </c>
      <c r="D17" s="63" t="s">
        <v>61</v>
      </c>
      <c r="E17" s="63">
        <v>45000</v>
      </c>
      <c r="F17" s="63">
        <v>5</v>
      </c>
      <c r="G17" s="64" t="s">
        <v>52</v>
      </c>
    </row>
    <row r="18" spans="1:7" x14ac:dyDescent="0.3">
      <c r="A18" s="62" t="s">
        <v>181</v>
      </c>
      <c r="B18" s="63"/>
      <c r="C18" s="63"/>
      <c r="D18" s="63"/>
      <c r="E18" s="63"/>
      <c r="F18" s="63"/>
      <c r="G18" s="64">
        <f>SUBTOTAL(103,Table1[Grade])</f>
        <v>16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Arithmetic Formulas </vt:lpstr>
      <vt:lpstr>Count , CountA,CountBlank </vt:lpstr>
      <vt:lpstr>Text Formulas </vt:lpstr>
      <vt:lpstr>DATE FORMULA</vt:lpstr>
      <vt:lpstr>Logical Formula</vt:lpstr>
      <vt:lpstr>Lookup and its all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Mishra</dc:creator>
  <cp:lastModifiedBy>Satvik Mishra</cp:lastModifiedBy>
  <dcterms:created xsi:type="dcterms:W3CDTF">2026-08-27T08:14:39Z</dcterms:created>
  <dcterms:modified xsi:type="dcterms:W3CDTF">2026-08-31T14:45:02Z</dcterms:modified>
</cp:coreProperties>
</file>